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90b0cfce9d5dd0b/Área de Trabalho/BRAVES 2018/Codigos_Scripts/Data_EMISSIONS_FACTORS/EF_Evaporative_LigthCommercial/"/>
    </mc:Choice>
  </mc:AlternateContent>
  <xr:revisionPtr revIDLastSave="0" documentId="8_{7D50CE8F-C301-49A0-ADA3-6CF619A3413D}" xr6:coauthVersionLast="47" xr6:coauthVersionMax="47" xr10:uidLastSave="{00000000-0000-0000-0000-000000000000}"/>
  <bookViews>
    <workbookView xWindow="1620" yWindow="1488" windowWidth="20748" windowHeight="10776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8" i="1" l="1"/>
  <c r="K98" i="1"/>
  <c r="J98" i="1"/>
  <c r="I98" i="1"/>
  <c r="H98" i="1"/>
  <c r="G98" i="1"/>
  <c r="F98" i="1"/>
  <c r="E98" i="1"/>
  <c r="D98" i="1"/>
  <c r="L97" i="1"/>
  <c r="K97" i="1"/>
  <c r="J97" i="1"/>
  <c r="I97" i="1"/>
  <c r="H97" i="1"/>
  <c r="G97" i="1"/>
  <c r="F97" i="1"/>
  <c r="E97" i="1"/>
  <c r="D97" i="1"/>
  <c r="L96" i="1"/>
  <c r="K96" i="1"/>
  <c r="J96" i="1"/>
  <c r="I96" i="1"/>
  <c r="H96" i="1"/>
  <c r="G96" i="1"/>
  <c r="F96" i="1"/>
  <c r="E96" i="1"/>
  <c r="D96" i="1"/>
  <c r="L95" i="1"/>
  <c r="K95" i="1"/>
  <c r="J95" i="1"/>
  <c r="I95" i="1"/>
  <c r="H95" i="1"/>
  <c r="G95" i="1"/>
  <c r="F95" i="1"/>
  <c r="E95" i="1"/>
  <c r="D95" i="1"/>
  <c r="L94" i="1"/>
  <c r="K94" i="1"/>
  <c r="J94" i="1"/>
  <c r="I94" i="1"/>
  <c r="H94" i="1"/>
  <c r="G94" i="1"/>
  <c r="F94" i="1"/>
  <c r="E94" i="1"/>
  <c r="D94" i="1"/>
  <c r="L93" i="1"/>
  <c r="K93" i="1"/>
  <c r="J93" i="1"/>
  <c r="I93" i="1"/>
  <c r="H93" i="1"/>
  <c r="G93" i="1"/>
  <c r="F93" i="1"/>
  <c r="E93" i="1"/>
  <c r="D93" i="1"/>
  <c r="L92" i="1"/>
  <c r="K92" i="1"/>
  <c r="J92" i="1"/>
  <c r="I92" i="1"/>
  <c r="H92" i="1"/>
  <c r="G92" i="1"/>
  <c r="F92" i="1"/>
  <c r="E92" i="1"/>
  <c r="D92" i="1"/>
  <c r="L91" i="1"/>
  <c r="K91" i="1"/>
  <c r="J91" i="1"/>
  <c r="I91" i="1"/>
  <c r="H91" i="1"/>
  <c r="G91" i="1"/>
  <c r="F91" i="1"/>
  <c r="E91" i="1"/>
  <c r="D91" i="1"/>
  <c r="L90" i="1"/>
  <c r="K90" i="1"/>
  <c r="J90" i="1"/>
  <c r="I90" i="1"/>
  <c r="H90" i="1"/>
  <c r="G90" i="1"/>
  <c r="F90" i="1"/>
  <c r="E90" i="1"/>
  <c r="D90" i="1"/>
  <c r="L89" i="1"/>
  <c r="K89" i="1"/>
  <c r="J89" i="1"/>
  <c r="I89" i="1"/>
  <c r="H89" i="1"/>
  <c r="G89" i="1"/>
  <c r="F89" i="1"/>
  <c r="E89" i="1"/>
  <c r="D89" i="1"/>
  <c r="L88" i="1"/>
  <c r="K88" i="1"/>
  <c r="J88" i="1"/>
  <c r="I88" i="1"/>
  <c r="H88" i="1"/>
  <c r="G88" i="1"/>
  <c r="F88" i="1"/>
  <c r="E88" i="1"/>
  <c r="D88" i="1"/>
  <c r="L87" i="1"/>
  <c r="K87" i="1"/>
  <c r="J87" i="1"/>
  <c r="I87" i="1"/>
  <c r="H87" i="1"/>
  <c r="G87" i="1"/>
  <c r="F87" i="1"/>
  <c r="E87" i="1"/>
  <c r="D87" i="1"/>
  <c r="L86" i="1"/>
  <c r="K86" i="1"/>
  <c r="J86" i="1"/>
  <c r="I86" i="1"/>
  <c r="H86" i="1"/>
  <c r="G86" i="1"/>
  <c r="F86" i="1"/>
  <c r="E86" i="1"/>
  <c r="D86" i="1"/>
  <c r="L85" i="1"/>
  <c r="K85" i="1"/>
  <c r="J85" i="1"/>
  <c r="I85" i="1"/>
  <c r="H85" i="1"/>
  <c r="G85" i="1"/>
  <c r="F85" i="1"/>
  <c r="E85" i="1"/>
  <c r="D85" i="1"/>
  <c r="L84" i="1"/>
  <c r="K84" i="1"/>
  <c r="J84" i="1"/>
  <c r="I84" i="1"/>
  <c r="H84" i="1"/>
  <c r="G84" i="1"/>
  <c r="F84" i="1"/>
  <c r="E84" i="1"/>
  <c r="D84" i="1"/>
  <c r="L83" i="1"/>
  <c r="K83" i="1"/>
  <c r="J83" i="1"/>
  <c r="I83" i="1"/>
  <c r="H83" i="1"/>
  <c r="G83" i="1"/>
  <c r="F83" i="1"/>
  <c r="E83" i="1"/>
  <c r="D83" i="1"/>
  <c r="L82" i="1"/>
  <c r="K82" i="1"/>
  <c r="J82" i="1"/>
  <c r="I82" i="1"/>
  <c r="H82" i="1"/>
  <c r="G82" i="1"/>
  <c r="F82" i="1"/>
  <c r="E82" i="1"/>
  <c r="D82" i="1"/>
  <c r="L81" i="1"/>
  <c r="K81" i="1"/>
  <c r="J81" i="1"/>
  <c r="I81" i="1"/>
  <c r="H81" i="1"/>
  <c r="G81" i="1"/>
  <c r="F81" i="1"/>
  <c r="E81" i="1"/>
  <c r="D81" i="1"/>
  <c r="L80" i="1"/>
  <c r="K80" i="1"/>
  <c r="J80" i="1"/>
  <c r="I80" i="1"/>
  <c r="H80" i="1"/>
  <c r="G80" i="1"/>
  <c r="F80" i="1"/>
  <c r="E80" i="1"/>
  <c r="D80" i="1"/>
  <c r="L79" i="1"/>
  <c r="K79" i="1"/>
  <c r="J79" i="1"/>
  <c r="I79" i="1"/>
  <c r="H79" i="1"/>
  <c r="G79" i="1"/>
  <c r="F79" i="1"/>
  <c r="E79" i="1"/>
  <c r="D79" i="1"/>
  <c r="L78" i="1"/>
  <c r="K78" i="1"/>
  <c r="J78" i="1"/>
  <c r="I78" i="1"/>
  <c r="H78" i="1"/>
  <c r="G78" i="1"/>
  <c r="F78" i="1"/>
  <c r="E78" i="1"/>
  <c r="D78" i="1"/>
  <c r="L77" i="1"/>
  <c r="K77" i="1"/>
  <c r="J77" i="1"/>
  <c r="I77" i="1"/>
  <c r="H77" i="1"/>
  <c r="G77" i="1"/>
  <c r="F77" i="1"/>
  <c r="E77" i="1"/>
  <c r="D77" i="1"/>
  <c r="L76" i="1"/>
  <c r="K76" i="1"/>
  <c r="J76" i="1"/>
  <c r="I76" i="1"/>
  <c r="H76" i="1"/>
  <c r="G76" i="1"/>
  <c r="F76" i="1"/>
  <c r="E76" i="1"/>
  <c r="D76" i="1"/>
  <c r="L75" i="1"/>
  <c r="K75" i="1"/>
  <c r="J75" i="1"/>
  <c r="I75" i="1"/>
  <c r="H75" i="1"/>
  <c r="G75" i="1"/>
  <c r="F75" i="1"/>
  <c r="E75" i="1"/>
  <c r="D75" i="1"/>
  <c r="L74" i="1"/>
  <c r="K74" i="1"/>
  <c r="J74" i="1"/>
  <c r="I74" i="1"/>
  <c r="H74" i="1"/>
  <c r="G74" i="1"/>
  <c r="F74" i="1"/>
  <c r="E74" i="1"/>
  <c r="D74" i="1"/>
  <c r="L73" i="1"/>
  <c r="K73" i="1"/>
  <c r="J73" i="1"/>
  <c r="I73" i="1"/>
  <c r="H73" i="1"/>
  <c r="G73" i="1"/>
  <c r="F73" i="1"/>
  <c r="E73" i="1"/>
  <c r="D73" i="1"/>
  <c r="L72" i="1"/>
  <c r="K72" i="1"/>
  <c r="J72" i="1"/>
  <c r="I72" i="1"/>
  <c r="H72" i="1"/>
  <c r="G72" i="1"/>
  <c r="F72" i="1"/>
  <c r="E72" i="1"/>
  <c r="D72" i="1"/>
  <c r="L71" i="1"/>
  <c r="K71" i="1"/>
  <c r="J71" i="1"/>
  <c r="I71" i="1"/>
  <c r="H71" i="1"/>
  <c r="G71" i="1"/>
  <c r="F71" i="1"/>
  <c r="E71" i="1"/>
  <c r="D71" i="1"/>
  <c r="L70" i="1"/>
  <c r="K70" i="1"/>
  <c r="J70" i="1"/>
  <c r="I70" i="1"/>
  <c r="H70" i="1"/>
  <c r="G70" i="1"/>
  <c r="F70" i="1"/>
  <c r="E70" i="1"/>
  <c r="D70" i="1"/>
  <c r="L69" i="1"/>
  <c r="K69" i="1"/>
  <c r="J69" i="1"/>
  <c r="I69" i="1"/>
  <c r="H69" i="1"/>
  <c r="G69" i="1"/>
  <c r="F69" i="1"/>
  <c r="E69" i="1"/>
  <c r="D69" i="1"/>
  <c r="L68" i="1"/>
  <c r="K68" i="1"/>
  <c r="J68" i="1"/>
  <c r="I68" i="1"/>
  <c r="H68" i="1"/>
  <c r="G68" i="1"/>
  <c r="F68" i="1"/>
  <c r="E68" i="1"/>
  <c r="D68" i="1"/>
  <c r="L67" i="1"/>
  <c r="K67" i="1"/>
  <c r="J67" i="1"/>
  <c r="I67" i="1"/>
  <c r="H67" i="1"/>
  <c r="G67" i="1"/>
  <c r="F67" i="1"/>
  <c r="E67" i="1"/>
  <c r="D67" i="1"/>
  <c r="L66" i="1"/>
  <c r="K66" i="1"/>
  <c r="J66" i="1"/>
  <c r="I66" i="1"/>
  <c r="H66" i="1"/>
  <c r="G66" i="1"/>
  <c r="F66" i="1"/>
  <c r="E66" i="1"/>
  <c r="D66" i="1"/>
  <c r="L65" i="1"/>
  <c r="K65" i="1"/>
  <c r="J65" i="1"/>
  <c r="I65" i="1"/>
  <c r="H65" i="1"/>
  <c r="G65" i="1"/>
  <c r="F65" i="1"/>
  <c r="E65" i="1"/>
  <c r="D65" i="1"/>
  <c r="L64" i="1"/>
  <c r="K64" i="1"/>
  <c r="J64" i="1"/>
  <c r="I64" i="1"/>
  <c r="H64" i="1"/>
  <c r="G64" i="1"/>
  <c r="F64" i="1"/>
  <c r="E64" i="1"/>
  <c r="D64" i="1"/>
  <c r="L63" i="1"/>
  <c r="K63" i="1"/>
  <c r="J63" i="1"/>
  <c r="I63" i="1"/>
  <c r="H63" i="1"/>
  <c r="G63" i="1"/>
  <c r="F63" i="1"/>
  <c r="E63" i="1"/>
  <c r="D63" i="1"/>
  <c r="L62" i="1"/>
  <c r="K62" i="1"/>
  <c r="J62" i="1"/>
  <c r="I62" i="1"/>
  <c r="H62" i="1"/>
  <c r="G62" i="1"/>
  <c r="F62" i="1"/>
  <c r="E62" i="1"/>
  <c r="D62" i="1"/>
  <c r="L61" i="1"/>
  <c r="K61" i="1"/>
  <c r="J61" i="1"/>
  <c r="I61" i="1"/>
  <c r="H61" i="1"/>
  <c r="G61" i="1"/>
  <c r="F61" i="1"/>
  <c r="E61" i="1"/>
  <c r="D61" i="1"/>
  <c r="L60" i="1"/>
  <c r="K60" i="1"/>
  <c r="J60" i="1"/>
  <c r="I60" i="1"/>
  <c r="H60" i="1"/>
  <c r="G60" i="1"/>
  <c r="F60" i="1"/>
  <c r="E60" i="1"/>
  <c r="D60" i="1"/>
  <c r="L59" i="1"/>
  <c r="K59" i="1"/>
  <c r="J59" i="1"/>
  <c r="I59" i="1"/>
  <c r="H59" i="1"/>
  <c r="G59" i="1"/>
  <c r="F59" i="1"/>
  <c r="E59" i="1"/>
  <c r="D59" i="1"/>
  <c r="L58" i="1"/>
  <c r="K58" i="1"/>
  <c r="J58" i="1"/>
  <c r="I58" i="1"/>
  <c r="H58" i="1"/>
  <c r="G58" i="1"/>
  <c r="F58" i="1"/>
  <c r="E58" i="1"/>
  <c r="D58" i="1"/>
  <c r="L57" i="1"/>
  <c r="K57" i="1"/>
  <c r="J57" i="1"/>
  <c r="I57" i="1"/>
  <c r="H57" i="1"/>
  <c r="G57" i="1"/>
  <c r="F57" i="1"/>
  <c r="E57" i="1"/>
  <c r="D57" i="1"/>
  <c r="L56" i="1"/>
  <c r="K56" i="1"/>
  <c r="J56" i="1"/>
  <c r="I56" i="1"/>
  <c r="H56" i="1"/>
  <c r="G56" i="1"/>
  <c r="F56" i="1"/>
  <c r="E56" i="1"/>
  <c r="D56" i="1"/>
  <c r="L55" i="1"/>
  <c r="K55" i="1"/>
  <c r="J55" i="1"/>
  <c r="I55" i="1"/>
  <c r="H55" i="1"/>
  <c r="G55" i="1"/>
  <c r="F55" i="1"/>
  <c r="E55" i="1"/>
  <c r="D55" i="1"/>
  <c r="L54" i="1"/>
  <c r="K54" i="1"/>
  <c r="J54" i="1"/>
  <c r="I54" i="1"/>
  <c r="H54" i="1"/>
  <c r="G54" i="1"/>
  <c r="F54" i="1"/>
  <c r="E54" i="1"/>
  <c r="D54" i="1"/>
  <c r="L53" i="1"/>
  <c r="K53" i="1"/>
  <c r="J53" i="1"/>
  <c r="I53" i="1"/>
  <c r="H53" i="1"/>
  <c r="G53" i="1"/>
  <c r="F53" i="1"/>
  <c r="E53" i="1"/>
  <c r="D53" i="1"/>
  <c r="L52" i="1"/>
  <c r="K52" i="1"/>
  <c r="J52" i="1"/>
  <c r="I52" i="1"/>
  <c r="H52" i="1"/>
  <c r="G52" i="1"/>
  <c r="F52" i="1"/>
  <c r="E52" i="1"/>
  <c r="D52" i="1"/>
  <c r="L51" i="1"/>
  <c r="K51" i="1"/>
  <c r="J51" i="1"/>
  <c r="I51" i="1"/>
  <c r="H51" i="1"/>
  <c r="G51" i="1"/>
  <c r="F51" i="1"/>
  <c r="E51" i="1"/>
  <c r="D51" i="1"/>
  <c r="L50" i="1"/>
  <c r="K50" i="1"/>
  <c r="J50" i="1"/>
  <c r="I50" i="1"/>
  <c r="H50" i="1"/>
  <c r="G50" i="1"/>
  <c r="F50" i="1"/>
  <c r="E50" i="1"/>
  <c r="D50" i="1"/>
  <c r="L49" i="1"/>
  <c r="K49" i="1"/>
  <c r="J49" i="1"/>
  <c r="I49" i="1"/>
  <c r="H49" i="1"/>
  <c r="G49" i="1"/>
  <c r="F49" i="1"/>
  <c r="E49" i="1"/>
  <c r="D49" i="1"/>
  <c r="L48" i="1"/>
  <c r="K48" i="1"/>
  <c r="J48" i="1"/>
  <c r="I48" i="1"/>
  <c r="H48" i="1"/>
  <c r="G48" i="1"/>
  <c r="F48" i="1"/>
  <c r="E48" i="1"/>
  <c r="D48" i="1"/>
  <c r="L47" i="1"/>
  <c r="K47" i="1"/>
  <c r="J47" i="1"/>
  <c r="I47" i="1"/>
  <c r="H47" i="1"/>
  <c r="G47" i="1"/>
  <c r="F47" i="1"/>
  <c r="E47" i="1"/>
  <c r="D47" i="1"/>
  <c r="L46" i="1"/>
  <c r="K46" i="1"/>
  <c r="J46" i="1"/>
  <c r="I46" i="1"/>
  <c r="H46" i="1"/>
  <c r="G46" i="1"/>
  <c r="F46" i="1"/>
  <c r="E46" i="1"/>
  <c r="D46" i="1"/>
  <c r="L45" i="1"/>
  <c r="K45" i="1"/>
  <c r="J45" i="1"/>
  <c r="I45" i="1"/>
  <c r="H45" i="1"/>
  <c r="G45" i="1"/>
  <c r="F45" i="1"/>
  <c r="E45" i="1"/>
  <c r="D45" i="1"/>
  <c r="L44" i="1"/>
  <c r="K44" i="1"/>
  <c r="J44" i="1"/>
  <c r="I44" i="1"/>
  <c r="H44" i="1"/>
  <c r="G44" i="1"/>
  <c r="F44" i="1"/>
  <c r="E44" i="1"/>
  <c r="D44" i="1"/>
  <c r="L43" i="1"/>
  <c r="K43" i="1"/>
  <c r="J43" i="1"/>
  <c r="I43" i="1"/>
  <c r="H43" i="1"/>
  <c r="G43" i="1"/>
  <c r="F43" i="1"/>
  <c r="E43" i="1"/>
  <c r="D43" i="1"/>
  <c r="L42" i="1"/>
  <c r="K42" i="1"/>
  <c r="J42" i="1"/>
  <c r="I42" i="1"/>
  <c r="H42" i="1"/>
  <c r="G42" i="1"/>
  <c r="F42" i="1"/>
  <c r="E42" i="1"/>
  <c r="D42" i="1"/>
  <c r="L41" i="1"/>
  <c r="K41" i="1"/>
  <c r="J41" i="1"/>
  <c r="I41" i="1"/>
  <c r="H41" i="1"/>
  <c r="G41" i="1"/>
  <c r="F41" i="1"/>
  <c r="E41" i="1"/>
  <c r="D41" i="1"/>
  <c r="L40" i="1"/>
  <c r="K40" i="1"/>
  <c r="J40" i="1"/>
  <c r="I40" i="1"/>
  <c r="H40" i="1"/>
  <c r="G40" i="1"/>
  <c r="F40" i="1"/>
  <c r="E40" i="1"/>
  <c r="D40" i="1"/>
  <c r="L39" i="1"/>
  <c r="K39" i="1"/>
  <c r="J39" i="1"/>
  <c r="I39" i="1"/>
  <c r="H39" i="1"/>
  <c r="G39" i="1"/>
  <c r="F39" i="1"/>
  <c r="E39" i="1"/>
  <c r="D39" i="1"/>
  <c r="L38" i="1"/>
  <c r="K38" i="1"/>
  <c r="J38" i="1"/>
  <c r="I38" i="1"/>
  <c r="H38" i="1"/>
  <c r="G38" i="1"/>
  <c r="F38" i="1"/>
  <c r="E38" i="1"/>
  <c r="D38" i="1"/>
  <c r="L37" i="1"/>
  <c r="K37" i="1"/>
  <c r="J37" i="1"/>
  <c r="I37" i="1"/>
  <c r="H37" i="1"/>
  <c r="G37" i="1"/>
  <c r="F37" i="1"/>
  <c r="E37" i="1"/>
  <c r="D37" i="1"/>
  <c r="L36" i="1"/>
  <c r="K36" i="1"/>
  <c r="J36" i="1"/>
  <c r="I36" i="1"/>
  <c r="H36" i="1"/>
  <c r="G36" i="1"/>
  <c r="F36" i="1"/>
  <c r="E36" i="1"/>
  <c r="D36" i="1"/>
  <c r="L35" i="1"/>
  <c r="K35" i="1"/>
  <c r="J35" i="1"/>
  <c r="I35" i="1"/>
  <c r="H35" i="1"/>
  <c r="G35" i="1"/>
  <c r="F35" i="1"/>
  <c r="E35" i="1"/>
  <c r="D35" i="1"/>
  <c r="L34" i="1"/>
  <c r="K34" i="1"/>
  <c r="J34" i="1"/>
  <c r="I34" i="1"/>
  <c r="H34" i="1"/>
  <c r="G34" i="1"/>
  <c r="F34" i="1"/>
  <c r="E34" i="1"/>
  <c r="D34" i="1"/>
  <c r="L33" i="1"/>
  <c r="K33" i="1"/>
  <c r="J33" i="1"/>
  <c r="I33" i="1"/>
  <c r="H33" i="1"/>
  <c r="G33" i="1"/>
  <c r="F33" i="1"/>
  <c r="E33" i="1"/>
  <c r="D33" i="1"/>
  <c r="L32" i="1"/>
  <c r="K32" i="1"/>
  <c r="J32" i="1"/>
  <c r="I32" i="1"/>
  <c r="H32" i="1"/>
  <c r="G32" i="1"/>
  <c r="F32" i="1"/>
  <c r="E32" i="1"/>
  <c r="D32" i="1"/>
  <c r="L31" i="1"/>
  <c r="K31" i="1"/>
  <c r="J31" i="1"/>
  <c r="I31" i="1"/>
  <c r="H31" i="1"/>
  <c r="G31" i="1"/>
  <c r="F31" i="1"/>
  <c r="E31" i="1"/>
  <c r="D31" i="1"/>
  <c r="L30" i="1"/>
  <c r="K30" i="1"/>
  <c r="J30" i="1"/>
  <c r="I30" i="1"/>
  <c r="H30" i="1"/>
  <c r="G30" i="1"/>
  <c r="F30" i="1"/>
  <c r="E30" i="1"/>
  <c r="D30" i="1"/>
  <c r="L29" i="1"/>
  <c r="K29" i="1"/>
  <c r="J29" i="1"/>
  <c r="I29" i="1"/>
  <c r="H29" i="1"/>
  <c r="G29" i="1"/>
  <c r="F29" i="1"/>
  <c r="E29" i="1"/>
  <c r="D29" i="1"/>
  <c r="L28" i="1"/>
  <c r="K28" i="1"/>
  <c r="J28" i="1"/>
  <c r="I28" i="1"/>
  <c r="H28" i="1"/>
  <c r="G28" i="1"/>
  <c r="F28" i="1"/>
  <c r="E28" i="1"/>
  <c r="D28" i="1"/>
  <c r="L27" i="1"/>
  <c r="K27" i="1"/>
  <c r="J27" i="1"/>
  <c r="I27" i="1"/>
  <c r="H27" i="1"/>
  <c r="G27" i="1"/>
  <c r="F27" i="1"/>
  <c r="E27" i="1"/>
  <c r="D27" i="1"/>
  <c r="L26" i="1"/>
  <c r="K26" i="1"/>
  <c r="J26" i="1"/>
  <c r="I26" i="1"/>
  <c r="H26" i="1"/>
  <c r="G26" i="1"/>
  <c r="F26" i="1"/>
  <c r="E26" i="1"/>
  <c r="D26" i="1"/>
  <c r="L25" i="1"/>
  <c r="K25" i="1"/>
  <c r="J25" i="1"/>
  <c r="I25" i="1"/>
  <c r="H25" i="1"/>
  <c r="G25" i="1"/>
  <c r="F25" i="1"/>
  <c r="E25" i="1"/>
  <c r="D25" i="1"/>
  <c r="L24" i="1"/>
  <c r="K24" i="1"/>
  <c r="J24" i="1"/>
  <c r="I24" i="1"/>
  <c r="H24" i="1"/>
  <c r="G24" i="1"/>
  <c r="F24" i="1"/>
  <c r="E24" i="1"/>
  <c r="D24" i="1"/>
  <c r="L23" i="1"/>
  <c r="K23" i="1"/>
  <c r="J23" i="1"/>
  <c r="I23" i="1"/>
  <c r="H23" i="1"/>
  <c r="G23" i="1"/>
  <c r="F23" i="1"/>
  <c r="E23" i="1"/>
  <c r="D23" i="1"/>
  <c r="L22" i="1"/>
  <c r="K22" i="1"/>
  <c r="J22" i="1"/>
  <c r="I22" i="1"/>
  <c r="H22" i="1"/>
  <c r="G22" i="1"/>
  <c r="F22" i="1"/>
  <c r="E22" i="1"/>
  <c r="D22" i="1"/>
  <c r="L21" i="1"/>
  <c r="K21" i="1"/>
  <c r="J21" i="1"/>
  <c r="I21" i="1"/>
  <c r="H21" i="1"/>
  <c r="G21" i="1"/>
  <c r="F21" i="1"/>
  <c r="E21" i="1"/>
  <c r="D21" i="1"/>
  <c r="L20" i="1"/>
  <c r="K20" i="1"/>
  <c r="J20" i="1"/>
  <c r="I20" i="1"/>
  <c r="H20" i="1"/>
  <c r="G20" i="1"/>
  <c r="F20" i="1"/>
  <c r="E20" i="1"/>
  <c r="D20" i="1"/>
  <c r="L19" i="1"/>
  <c r="K19" i="1"/>
  <c r="J19" i="1"/>
  <c r="I19" i="1"/>
  <c r="H19" i="1"/>
  <c r="G19" i="1"/>
  <c r="F19" i="1"/>
  <c r="E19" i="1"/>
  <c r="D19" i="1"/>
  <c r="L18" i="1"/>
  <c r="K18" i="1"/>
  <c r="J18" i="1"/>
  <c r="I18" i="1"/>
  <c r="H18" i="1"/>
  <c r="G18" i="1"/>
  <c r="F18" i="1"/>
  <c r="E18" i="1"/>
  <c r="D18" i="1"/>
  <c r="L17" i="1"/>
  <c r="K17" i="1"/>
  <c r="J17" i="1"/>
  <c r="I17" i="1"/>
  <c r="H17" i="1"/>
  <c r="G17" i="1"/>
  <c r="F17" i="1"/>
  <c r="E17" i="1"/>
  <c r="D17" i="1"/>
  <c r="L16" i="1"/>
  <c r="K16" i="1"/>
  <c r="J16" i="1"/>
  <c r="I16" i="1"/>
  <c r="H16" i="1"/>
  <c r="G16" i="1"/>
  <c r="F16" i="1"/>
  <c r="E16" i="1"/>
  <c r="D16" i="1"/>
  <c r="L15" i="1"/>
  <c r="K15" i="1"/>
  <c r="J15" i="1"/>
  <c r="I15" i="1"/>
  <c r="H15" i="1"/>
  <c r="G15" i="1"/>
  <c r="F15" i="1"/>
  <c r="E15" i="1"/>
  <c r="D15" i="1"/>
  <c r="L14" i="1"/>
  <c r="K14" i="1"/>
  <c r="J14" i="1"/>
  <c r="I14" i="1"/>
  <c r="H14" i="1"/>
  <c r="G14" i="1"/>
  <c r="F14" i="1"/>
  <c r="E14" i="1"/>
  <c r="D14" i="1"/>
  <c r="L13" i="1"/>
  <c r="K13" i="1"/>
  <c r="J13" i="1"/>
  <c r="I13" i="1"/>
  <c r="H13" i="1"/>
  <c r="G13" i="1"/>
  <c r="F13" i="1"/>
  <c r="E13" i="1"/>
  <c r="D13" i="1"/>
  <c r="L12" i="1"/>
  <c r="K12" i="1"/>
  <c r="J12" i="1"/>
  <c r="I12" i="1"/>
  <c r="H12" i="1"/>
  <c r="G12" i="1"/>
  <c r="F12" i="1"/>
  <c r="E12" i="1"/>
  <c r="D12" i="1"/>
  <c r="L11" i="1"/>
  <c r="K11" i="1"/>
  <c r="J11" i="1"/>
  <c r="I11" i="1"/>
  <c r="H11" i="1"/>
  <c r="G11" i="1"/>
  <c r="F11" i="1"/>
  <c r="E11" i="1"/>
  <c r="D11" i="1"/>
  <c r="L10" i="1"/>
  <c r="K10" i="1"/>
  <c r="J10" i="1"/>
  <c r="I10" i="1"/>
  <c r="H10" i="1"/>
  <c r="G10" i="1"/>
  <c r="F10" i="1"/>
  <c r="E10" i="1"/>
  <c r="D10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L7" i="1"/>
  <c r="K7" i="1"/>
  <c r="J7" i="1"/>
  <c r="I7" i="1"/>
  <c r="H7" i="1"/>
  <c r="G7" i="1"/>
  <c r="F7" i="1"/>
  <c r="E7" i="1"/>
  <c r="D7" i="1"/>
  <c r="L6" i="1"/>
  <c r="K6" i="1"/>
  <c r="J6" i="1"/>
  <c r="I6" i="1"/>
  <c r="H6" i="1"/>
  <c r="G6" i="1"/>
  <c r="F6" i="1"/>
  <c r="E6" i="1"/>
  <c r="D6" i="1"/>
  <c r="L5" i="1"/>
  <c r="K5" i="1"/>
  <c r="J5" i="1"/>
  <c r="I5" i="1"/>
  <c r="H5" i="1"/>
  <c r="G5" i="1"/>
  <c r="F5" i="1"/>
  <c r="E5" i="1"/>
  <c r="D5" i="1"/>
  <c r="L4" i="1"/>
  <c r="K4" i="1"/>
  <c r="J4" i="1"/>
  <c r="I4" i="1"/>
  <c r="H4" i="1"/>
  <c r="G4" i="1"/>
  <c r="F4" i="1"/>
  <c r="E4" i="1"/>
  <c r="D4" i="1"/>
  <c r="L3" i="1"/>
  <c r="K3" i="1"/>
  <c r="J3" i="1"/>
  <c r="I3" i="1"/>
  <c r="H3" i="1"/>
  <c r="G3" i="1"/>
  <c r="F3" i="1"/>
  <c r="E3" i="1"/>
  <c r="D3" i="1"/>
  <c r="L2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<sst xmlns="http://schemas.openxmlformats.org/spreadsheetml/2006/main" count="206" uniqueCount="23">
  <si>
    <t>Ano</t>
  </si>
  <si>
    <t>Combustivel</t>
  </si>
  <si>
    <t>Gasolina</t>
  </si>
  <si>
    <t>Etanol</t>
  </si>
  <si>
    <t>Flex Gasolina</t>
  </si>
  <si>
    <t>Flex Etanol</t>
  </si>
  <si>
    <t>Fase PROCONVE</t>
  </si>
  <si>
    <t>PP</t>
  </si>
  <si>
    <t>L1</t>
  </si>
  <si>
    <t>L2</t>
  </si>
  <si>
    <t>L3</t>
  </si>
  <si>
    <t>L4</t>
  </si>
  <si>
    <t>L5</t>
  </si>
  <si>
    <t>L6</t>
  </si>
  <si>
    <t>FE_Diurnal_20a35</t>
  </si>
  <si>
    <t>FE_HotSoak_20a35</t>
  </si>
  <si>
    <t>FE_RunningLosses_20a35</t>
  </si>
  <si>
    <t>FE_Diurnal_10a25</t>
  </si>
  <si>
    <t>FE_HotSoak_10a25</t>
  </si>
  <si>
    <t>FE_RunningLosses_10a25</t>
  </si>
  <si>
    <t>FE_Diurnal_0a15</t>
  </si>
  <si>
    <t>FE_HotSoak_0a15</t>
  </si>
  <si>
    <t>FE_RunningLosses_0a15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</si>
</sst>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topLeftCell="A91" workbookViewId="0">
      <selection activeCell="E102" sqref="E102"/>
    </sheetView>
  </sheetViews>
  <sheetFormatPr defaultRowHeight="14.4" x14ac:dyDescent="0.3"/>
  <cols>
    <col min="2" max="2" width="12.6640625" bestFit="1" customWidth="1"/>
    <col min="3" max="3" width="15.5546875" bestFit="1" customWidth="1"/>
    <col min="4" max="4" width="15.77734375" bestFit="1" customWidth="1"/>
    <col min="5" max="5" width="16.88671875" bestFit="1" customWidth="1"/>
    <col min="6" max="6" width="22" bestFit="1" customWidth="1"/>
    <col min="7" max="7" width="15.77734375" bestFit="1" customWidth="1"/>
    <col min="8" max="8" width="16.88671875" bestFit="1" customWidth="1"/>
    <col min="9" max="9" width="22" bestFit="1" customWidth="1"/>
    <col min="10" max="11" width="15.77734375" bestFit="1" customWidth="1"/>
    <col min="12" max="12" width="20.88671875" bestFit="1" customWidth="1"/>
  </cols>
  <sheetData>
    <row r="1" spans="1:12" x14ac:dyDescent="0.3">
      <c r="A1" t="s">
        <v>0</v>
      </c>
      <c r="B1" t="s">
        <v>1</v>
      </c>
      <c r="C1" t="s">
        <v>6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>
        <v>1982</v>
      </c>
      <c r="B2" t="s">
        <v>2</v>
      </c>
      <c r="C2" t="s">
        <v>7</v>
      </c>
      <c r="D2" s="1">
        <f t="shared" ref="D2:D17" si="0">0.381*(20.7)+0.585*(24.8)+0.28*(31.1)</f>
        <v>31.102700000000002</v>
      </c>
      <c r="E2" s="1">
        <f t="shared" ref="E2:E17" si="1">0.381*(1*(1*5.65+0))+0.585*(1*(1*6.76+0))+0.28*(1*(1*8.43+0))</f>
        <v>8.467649999999999</v>
      </c>
      <c r="F2" s="1">
        <f t="shared" ref="F2:F17" si="2">0.381*(1*(1*5.42+0))+0.585*(1*(1*6.5+0))+0.28*(1*(1*8.11+0))</f>
        <v>8.1383200000000002</v>
      </c>
      <c r="G2" s="1">
        <f t="shared" ref="G2:G17" si="3">0.381*(12.4)+0.585*(14.9)+0.28*(18.6)</f>
        <v>18.648900000000001</v>
      </c>
      <c r="H2" s="1">
        <f t="shared" ref="H2:H17" si="4">(0.381*(1*(1*3.4+0)))+(0.585*(1*(1*4.06+0)))+(0.28*(1*(1*5.06+0)))</f>
        <v>5.0872999999999999</v>
      </c>
      <c r="I2" s="1">
        <f t="shared" ref="I2:I17" si="5">(0.381*(1*(1*3.25+0)))+(0.585*(1*(1*3.9+0)))+(0.28*(1*(1*4.87+0)))</f>
        <v>4.8833500000000001</v>
      </c>
      <c r="J2" s="1">
        <f t="shared" ref="J2:J17" si="6">0.381*(9.1)+0.585*(11)+0.28*(13.7)</f>
        <v>13.738099999999999</v>
      </c>
      <c r="K2" s="1">
        <f t="shared" ref="K2:K17" si="7">(0.381*(1*(1*2.5+0)))+(0.585*(1*(1*2.99+0)))+(0.28*(1*(1*3.72+0)))</f>
        <v>3.7432499999999997</v>
      </c>
      <c r="L2" s="1">
        <f t="shared" ref="L2:L17" si="8">(0.381*(1*(1*2.39+0)))+(0.585*(1*(1*2.87+0)))+(0.28*(1*(1*3.58+0)))</f>
        <v>3.5919400000000001</v>
      </c>
    </row>
    <row r="3" spans="1:12" x14ac:dyDescent="0.3">
      <c r="A3">
        <v>1982</v>
      </c>
      <c r="B3" t="s">
        <v>3</v>
      </c>
      <c r="C3" t="s">
        <v>7</v>
      </c>
      <c r="D3" s="1">
        <f t="shared" si="0"/>
        <v>31.102700000000002</v>
      </c>
      <c r="E3" s="1">
        <f t="shared" si="1"/>
        <v>8.467649999999999</v>
      </c>
      <c r="F3" s="1">
        <f t="shared" si="2"/>
        <v>8.1383200000000002</v>
      </c>
      <c r="G3" s="1">
        <f t="shared" si="3"/>
        <v>18.648900000000001</v>
      </c>
      <c r="H3" s="1">
        <f t="shared" si="4"/>
        <v>5.0872999999999999</v>
      </c>
      <c r="I3" s="1">
        <f t="shared" si="5"/>
        <v>4.8833500000000001</v>
      </c>
      <c r="J3" s="1">
        <f t="shared" si="6"/>
        <v>13.738099999999999</v>
      </c>
      <c r="K3" s="1">
        <f t="shared" si="7"/>
        <v>3.7432499999999997</v>
      </c>
      <c r="L3" s="1">
        <f t="shared" si="8"/>
        <v>3.5919400000000001</v>
      </c>
    </row>
    <row r="4" spans="1:12" x14ac:dyDescent="0.3">
      <c r="A4">
        <v>1983</v>
      </c>
      <c r="B4" t="s">
        <v>2</v>
      </c>
      <c r="C4" t="s">
        <v>7</v>
      </c>
      <c r="D4" s="1">
        <f t="shared" si="0"/>
        <v>31.102700000000002</v>
      </c>
      <c r="E4" s="1">
        <f t="shared" si="1"/>
        <v>8.467649999999999</v>
      </c>
      <c r="F4" s="1">
        <f t="shared" si="2"/>
        <v>8.1383200000000002</v>
      </c>
      <c r="G4" s="1">
        <f t="shared" si="3"/>
        <v>18.648900000000001</v>
      </c>
      <c r="H4" s="1">
        <f t="shared" si="4"/>
        <v>5.0872999999999999</v>
      </c>
      <c r="I4" s="1">
        <f t="shared" si="5"/>
        <v>4.8833500000000001</v>
      </c>
      <c r="J4" s="1">
        <f t="shared" si="6"/>
        <v>13.738099999999999</v>
      </c>
      <c r="K4" s="1">
        <f t="shared" si="7"/>
        <v>3.7432499999999997</v>
      </c>
      <c r="L4" s="1">
        <f t="shared" si="8"/>
        <v>3.5919400000000001</v>
      </c>
    </row>
    <row r="5" spans="1:12" x14ac:dyDescent="0.3">
      <c r="A5">
        <v>1983</v>
      </c>
      <c r="B5" t="s">
        <v>3</v>
      </c>
      <c r="C5" t="s">
        <v>7</v>
      </c>
      <c r="D5" s="1">
        <f t="shared" si="0"/>
        <v>31.102700000000002</v>
      </c>
      <c r="E5" s="1">
        <f t="shared" si="1"/>
        <v>8.467649999999999</v>
      </c>
      <c r="F5" s="1">
        <f t="shared" si="2"/>
        <v>8.1383200000000002</v>
      </c>
      <c r="G5" s="1">
        <f t="shared" si="3"/>
        <v>18.648900000000001</v>
      </c>
      <c r="H5" s="1">
        <f t="shared" si="4"/>
        <v>5.0872999999999999</v>
      </c>
      <c r="I5" s="1">
        <f t="shared" si="5"/>
        <v>4.8833500000000001</v>
      </c>
      <c r="J5" s="1">
        <f t="shared" si="6"/>
        <v>13.738099999999999</v>
      </c>
      <c r="K5" s="1">
        <f t="shared" si="7"/>
        <v>3.7432499999999997</v>
      </c>
      <c r="L5" s="1">
        <f t="shared" si="8"/>
        <v>3.5919400000000001</v>
      </c>
    </row>
    <row r="6" spans="1:12" x14ac:dyDescent="0.3">
      <c r="A6">
        <v>1984</v>
      </c>
      <c r="B6" t="s">
        <v>2</v>
      </c>
      <c r="C6" t="s">
        <v>7</v>
      </c>
      <c r="D6" s="1">
        <f t="shared" si="0"/>
        <v>31.102700000000002</v>
      </c>
      <c r="E6" s="1">
        <f t="shared" si="1"/>
        <v>8.467649999999999</v>
      </c>
      <c r="F6" s="1">
        <f t="shared" si="2"/>
        <v>8.1383200000000002</v>
      </c>
      <c r="G6" s="1">
        <f t="shared" si="3"/>
        <v>18.648900000000001</v>
      </c>
      <c r="H6" s="1">
        <f t="shared" si="4"/>
        <v>5.0872999999999999</v>
      </c>
      <c r="I6" s="1">
        <f t="shared" si="5"/>
        <v>4.8833500000000001</v>
      </c>
      <c r="J6" s="1">
        <f t="shared" si="6"/>
        <v>13.738099999999999</v>
      </c>
      <c r="K6" s="1">
        <f t="shared" si="7"/>
        <v>3.7432499999999997</v>
      </c>
      <c r="L6" s="1">
        <f t="shared" si="8"/>
        <v>3.5919400000000001</v>
      </c>
    </row>
    <row r="7" spans="1:12" x14ac:dyDescent="0.3">
      <c r="A7">
        <v>1984</v>
      </c>
      <c r="B7" t="s">
        <v>3</v>
      </c>
      <c r="C7" t="s">
        <v>7</v>
      </c>
      <c r="D7" s="1">
        <f t="shared" si="0"/>
        <v>31.102700000000002</v>
      </c>
      <c r="E7" s="1">
        <f t="shared" si="1"/>
        <v>8.467649999999999</v>
      </c>
      <c r="F7" s="1">
        <f t="shared" si="2"/>
        <v>8.1383200000000002</v>
      </c>
      <c r="G7" s="1">
        <f t="shared" si="3"/>
        <v>18.648900000000001</v>
      </c>
      <c r="H7" s="1">
        <f t="shared" si="4"/>
        <v>5.0872999999999999</v>
      </c>
      <c r="I7" s="1">
        <f t="shared" si="5"/>
        <v>4.8833500000000001</v>
      </c>
      <c r="J7" s="1">
        <f t="shared" si="6"/>
        <v>13.738099999999999</v>
      </c>
      <c r="K7" s="1">
        <f t="shared" si="7"/>
        <v>3.7432499999999997</v>
      </c>
      <c r="L7" s="1">
        <f t="shared" si="8"/>
        <v>3.5919400000000001</v>
      </c>
    </row>
    <row r="8" spans="1:12" x14ac:dyDescent="0.3">
      <c r="A8">
        <v>1985</v>
      </c>
      <c r="B8" t="s">
        <v>2</v>
      </c>
      <c r="C8" t="s">
        <v>7</v>
      </c>
      <c r="D8" s="1">
        <f t="shared" si="0"/>
        <v>31.102700000000002</v>
      </c>
      <c r="E8" s="1">
        <f t="shared" si="1"/>
        <v>8.467649999999999</v>
      </c>
      <c r="F8" s="1">
        <f t="shared" si="2"/>
        <v>8.1383200000000002</v>
      </c>
      <c r="G8" s="1">
        <f t="shared" si="3"/>
        <v>18.648900000000001</v>
      </c>
      <c r="H8" s="1">
        <f t="shared" si="4"/>
        <v>5.0872999999999999</v>
      </c>
      <c r="I8" s="1">
        <f t="shared" si="5"/>
        <v>4.8833500000000001</v>
      </c>
      <c r="J8" s="1">
        <f t="shared" si="6"/>
        <v>13.738099999999999</v>
      </c>
      <c r="K8" s="1">
        <f t="shared" si="7"/>
        <v>3.7432499999999997</v>
      </c>
      <c r="L8" s="1">
        <f t="shared" si="8"/>
        <v>3.5919400000000001</v>
      </c>
    </row>
    <row r="9" spans="1:12" x14ac:dyDescent="0.3">
      <c r="A9">
        <v>1985</v>
      </c>
      <c r="B9" t="s">
        <v>3</v>
      </c>
      <c r="C9" t="s">
        <v>7</v>
      </c>
      <c r="D9" s="1">
        <f t="shared" si="0"/>
        <v>31.102700000000002</v>
      </c>
      <c r="E9" s="1">
        <f t="shared" si="1"/>
        <v>8.467649999999999</v>
      </c>
      <c r="F9" s="1">
        <f t="shared" si="2"/>
        <v>8.1383200000000002</v>
      </c>
      <c r="G9" s="1">
        <f t="shared" si="3"/>
        <v>18.648900000000001</v>
      </c>
      <c r="H9" s="1">
        <f t="shared" si="4"/>
        <v>5.0872999999999999</v>
      </c>
      <c r="I9" s="1">
        <f t="shared" si="5"/>
        <v>4.8833500000000001</v>
      </c>
      <c r="J9" s="1">
        <f t="shared" si="6"/>
        <v>13.738099999999999</v>
      </c>
      <c r="K9" s="1">
        <f t="shared" si="7"/>
        <v>3.7432499999999997</v>
      </c>
      <c r="L9" s="1">
        <f t="shared" si="8"/>
        <v>3.5919400000000001</v>
      </c>
    </row>
    <row r="10" spans="1:12" x14ac:dyDescent="0.3">
      <c r="A10">
        <v>1986</v>
      </c>
      <c r="B10" t="s">
        <v>2</v>
      </c>
      <c r="C10" t="s">
        <v>7</v>
      </c>
      <c r="D10" s="1">
        <f t="shared" si="0"/>
        <v>31.102700000000002</v>
      </c>
      <c r="E10" s="1">
        <f t="shared" si="1"/>
        <v>8.467649999999999</v>
      </c>
      <c r="F10" s="1">
        <f t="shared" si="2"/>
        <v>8.1383200000000002</v>
      </c>
      <c r="G10" s="1">
        <f t="shared" si="3"/>
        <v>18.648900000000001</v>
      </c>
      <c r="H10" s="1">
        <f t="shared" si="4"/>
        <v>5.0872999999999999</v>
      </c>
      <c r="I10" s="1">
        <f t="shared" si="5"/>
        <v>4.8833500000000001</v>
      </c>
      <c r="J10" s="1">
        <f t="shared" si="6"/>
        <v>13.738099999999999</v>
      </c>
      <c r="K10" s="1">
        <f t="shared" si="7"/>
        <v>3.7432499999999997</v>
      </c>
      <c r="L10" s="1">
        <f t="shared" si="8"/>
        <v>3.5919400000000001</v>
      </c>
    </row>
    <row r="11" spans="1:12" x14ac:dyDescent="0.3">
      <c r="A11">
        <v>1986</v>
      </c>
      <c r="B11" t="s">
        <v>3</v>
      </c>
      <c r="C11" t="s">
        <v>7</v>
      </c>
      <c r="D11" s="1">
        <f t="shared" si="0"/>
        <v>31.102700000000002</v>
      </c>
      <c r="E11" s="1">
        <f t="shared" si="1"/>
        <v>8.467649999999999</v>
      </c>
      <c r="F11" s="1">
        <f t="shared" si="2"/>
        <v>8.1383200000000002</v>
      </c>
      <c r="G11" s="1">
        <f t="shared" si="3"/>
        <v>18.648900000000001</v>
      </c>
      <c r="H11" s="1">
        <f t="shared" si="4"/>
        <v>5.0872999999999999</v>
      </c>
      <c r="I11" s="1">
        <f t="shared" si="5"/>
        <v>4.8833500000000001</v>
      </c>
      <c r="J11" s="1">
        <f t="shared" si="6"/>
        <v>13.738099999999999</v>
      </c>
      <c r="K11" s="1">
        <f t="shared" si="7"/>
        <v>3.7432499999999997</v>
      </c>
      <c r="L11" s="1">
        <f t="shared" si="8"/>
        <v>3.5919400000000001</v>
      </c>
    </row>
    <row r="12" spans="1:12" x14ac:dyDescent="0.3">
      <c r="A12">
        <v>1987</v>
      </c>
      <c r="B12" t="s">
        <v>2</v>
      </c>
      <c r="C12" t="s">
        <v>7</v>
      </c>
      <c r="D12" s="1">
        <f t="shared" si="0"/>
        <v>31.102700000000002</v>
      </c>
      <c r="E12" s="1">
        <f t="shared" si="1"/>
        <v>8.467649999999999</v>
      </c>
      <c r="F12" s="1">
        <f t="shared" si="2"/>
        <v>8.1383200000000002</v>
      </c>
      <c r="G12" s="1">
        <f t="shared" si="3"/>
        <v>18.648900000000001</v>
      </c>
      <c r="H12" s="1">
        <f t="shared" si="4"/>
        <v>5.0872999999999999</v>
      </c>
      <c r="I12" s="1">
        <f t="shared" si="5"/>
        <v>4.8833500000000001</v>
      </c>
      <c r="J12" s="1">
        <f t="shared" si="6"/>
        <v>13.738099999999999</v>
      </c>
      <c r="K12" s="1">
        <f t="shared" si="7"/>
        <v>3.7432499999999997</v>
      </c>
      <c r="L12" s="1">
        <f t="shared" si="8"/>
        <v>3.5919400000000001</v>
      </c>
    </row>
    <row r="13" spans="1:12" x14ac:dyDescent="0.3">
      <c r="A13">
        <v>1987</v>
      </c>
      <c r="B13" t="s">
        <v>3</v>
      </c>
      <c r="C13" t="s">
        <v>7</v>
      </c>
      <c r="D13" s="1">
        <f t="shared" si="0"/>
        <v>31.102700000000002</v>
      </c>
      <c r="E13" s="1">
        <f t="shared" si="1"/>
        <v>8.467649999999999</v>
      </c>
      <c r="F13" s="1">
        <f t="shared" si="2"/>
        <v>8.1383200000000002</v>
      </c>
      <c r="G13" s="1">
        <f t="shared" si="3"/>
        <v>18.648900000000001</v>
      </c>
      <c r="H13" s="1">
        <f t="shared" si="4"/>
        <v>5.0872999999999999</v>
      </c>
      <c r="I13" s="1">
        <f t="shared" si="5"/>
        <v>4.8833500000000001</v>
      </c>
      <c r="J13" s="1">
        <f t="shared" si="6"/>
        <v>13.738099999999999</v>
      </c>
      <c r="K13" s="1">
        <f t="shared" si="7"/>
        <v>3.7432499999999997</v>
      </c>
      <c r="L13" s="1">
        <f t="shared" si="8"/>
        <v>3.5919400000000001</v>
      </c>
    </row>
    <row r="14" spans="1:12" x14ac:dyDescent="0.3">
      <c r="A14">
        <v>1988</v>
      </c>
      <c r="B14" t="s">
        <v>2</v>
      </c>
      <c r="C14" t="s">
        <v>8</v>
      </c>
      <c r="D14" s="1">
        <f t="shared" si="0"/>
        <v>31.102700000000002</v>
      </c>
      <c r="E14" s="1">
        <f t="shared" si="1"/>
        <v>8.467649999999999</v>
      </c>
      <c r="F14" s="1">
        <f t="shared" si="2"/>
        <v>8.1383200000000002</v>
      </c>
      <c r="G14" s="1">
        <f t="shared" si="3"/>
        <v>18.648900000000001</v>
      </c>
      <c r="H14" s="1">
        <f t="shared" si="4"/>
        <v>5.0872999999999999</v>
      </c>
      <c r="I14" s="1">
        <f t="shared" si="5"/>
        <v>4.8833500000000001</v>
      </c>
      <c r="J14" s="1">
        <f t="shared" si="6"/>
        <v>13.738099999999999</v>
      </c>
      <c r="K14" s="1">
        <f t="shared" si="7"/>
        <v>3.7432499999999997</v>
      </c>
      <c r="L14" s="1">
        <f t="shared" si="8"/>
        <v>3.5919400000000001</v>
      </c>
    </row>
    <row r="15" spans="1:12" x14ac:dyDescent="0.3">
      <c r="A15">
        <v>1988</v>
      </c>
      <c r="B15" t="s">
        <v>3</v>
      </c>
      <c r="C15" t="s">
        <v>8</v>
      </c>
      <c r="D15" s="1">
        <f t="shared" si="0"/>
        <v>31.102700000000002</v>
      </c>
      <c r="E15" s="1">
        <f t="shared" si="1"/>
        <v>8.467649999999999</v>
      </c>
      <c r="F15" s="1">
        <f t="shared" si="2"/>
        <v>8.1383200000000002</v>
      </c>
      <c r="G15" s="1">
        <f t="shared" si="3"/>
        <v>18.648900000000001</v>
      </c>
      <c r="H15" s="1">
        <f t="shared" si="4"/>
        <v>5.0872999999999999</v>
      </c>
      <c r="I15" s="1">
        <f t="shared" si="5"/>
        <v>4.8833500000000001</v>
      </c>
      <c r="J15" s="1">
        <f t="shared" si="6"/>
        <v>13.738099999999999</v>
      </c>
      <c r="K15" s="1">
        <f t="shared" si="7"/>
        <v>3.7432499999999997</v>
      </c>
      <c r="L15" s="1">
        <f t="shared" si="8"/>
        <v>3.5919400000000001</v>
      </c>
    </row>
    <row r="16" spans="1:12" x14ac:dyDescent="0.3">
      <c r="A16">
        <v>1989</v>
      </c>
      <c r="B16" t="s">
        <v>2</v>
      </c>
      <c r="C16" t="s">
        <v>8</v>
      </c>
      <c r="D16" s="1">
        <f t="shared" si="0"/>
        <v>31.102700000000002</v>
      </c>
      <c r="E16" s="1">
        <f t="shared" si="1"/>
        <v>8.467649999999999</v>
      </c>
      <c r="F16" s="1">
        <f t="shared" si="2"/>
        <v>8.1383200000000002</v>
      </c>
      <c r="G16" s="1">
        <f t="shared" si="3"/>
        <v>18.648900000000001</v>
      </c>
      <c r="H16" s="1">
        <f t="shared" si="4"/>
        <v>5.0872999999999999</v>
      </c>
      <c r="I16" s="1">
        <f t="shared" si="5"/>
        <v>4.8833500000000001</v>
      </c>
      <c r="J16" s="1">
        <f t="shared" si="6"/>
        <v>13.738099999999999</v>
      </c>
      <c r="K16" s="1">
        <f t="shared" si="7"/>
        <v>3.7432499999999997</v>
      </c>
      <c r="L16" s="1">
        <f t="shared" si="8"/>
        <v>3.5919400000000001</v>
      </c>
    </row>
    <row r="17" spans="1:12" x14ac:dyDescent="0.3">
      <c r="A17">
        <v>1989</v>
      </c>
      <c r="B17" t="s">
        <v>3</v>
      </c>
      <c r="C17" t="s">
        <v>8</v>
      </c>
      <c r="D17" s="1">
        <f t="shared" si="0"/>
        <v>31.102700000000002</v>
      </c>
      <c r="E17" s="1">
        <f t="shared" si="1"/>
        <v>8.467649999999999</v>
      </c>
      <c r="F17" s="1">
        <f t="shared" si="2"/>
        <v>8.1383200000000002</v>
      </c>
      <c r="G17" s="1">
        <f t="shared" si="3"/>
        <v>18.648900000000001</v>
      </c>
      <c r="H17" s="1">
        <f t="shared" si="4"/>
        <v>5.0872999999999999</v>
      </c>
      <c r="I17" s="1">
        <f t="shared" si="5"/>
        <v>4.8833500000000001</v>
      </c>
      <c r="J17" s="1">
        <f t="shared" si="6"/>
        <v>13.738099999999999</v>
      </c>
      <c r="K17" s="1">
        <f t="shared" si="7"/>
        <v>3.7432499999999997</v>
      </c>
      <c r="L17" s="1">
        <f t="shared" si="8"/>
        <v>3.5919400000000001</v>
      </c>
    </row>
    <row r="18" spans="1:12" x14ac:dyDescent="0.3">
      <c r="A18">
        <v>1990</v>
      </c>
      <c r="B18" t="s">
        <v>2</v>
      </c>
      <c r="C18" t="s">
        <v>8</v>
      </c>
      <c r="D18" s="1">
        <f>0.381*(2.92)+0.585*(2.61)+0.28*(4.4)</f>
        <v>3.8713699999999998</v>
      </c>
      <c r="E18" s="1">
        <f>0.381*(1*(1*1.27+0))+0.585*(1*(1*1.33+0))+0.28*(1*(1*1.88+0))</f>
        <v>1.7883199999999999</v>
      </c>
      <c r="F18" s="1">
        <f>0.381*(1*(1*0.03+0))+0.585*(1*(1*0.03+0))+0.28*(1*(1*0.03+0))</f>
        <v>3.7379999999999997E-2</v>
      </c>
      <c r="G18" s="1">
        <f>0.381*(1.31)+0.585*(1.02)+0.28*(1.29)</f>
        <v>1.4570100000000001</v>
      </c>
      <c r="H18" s="1">
        <f>(0.381*(1*(1*0.46+0)))+(0.585*(1*(1*0.48+0)))+(0.28*(1*(1*0.6+0)))</f>
        <v>0.62406000000000006</v>
      </c>
      <c r="I18" s="1">
        <f t="shared" ref="I18:I37" si="9">(0.381*(1*(1*0.02+0)))+(0.585*(1*(1*0.02+0)))+(0.28*(1*(1*0.02+0)))</f>
        <v>2.4920000000000001E-2</v>
      </c>
      <c r="J18" s="1">
        <f>0.381*(0.96)+0.585*(0.74)+0.28*(0.86)</f>
        <v>1.0394600000000001</v>
      </c>
      <c r="K18" s="1">
        <f>(0.381*(1*(1*0.3+0)))+(0.585*(1*(1*0.3+0)))+(0.28*(1*(1*0.36+0)))</f>
        <v>0.3906</v>
      </c>
      <c r="L18" s="1">
        <f t="shared" ref="L18:L37" si="10">(0.381*(1*(1*0.01+0)))+(0.585*(1*(1*0.01+0)))+(0.28*(1*(1*0.01+0)))</f>
        <v>1.2460000000000001E-2</v>
      </c>
    </row>
    <row r="19" spans="1:12" x14ac:dyDescent="0.3">
      <c r="A19">
        <v>1990</v>
      </c>
      <c r="B19" t="s">
        <v>3</v>
      </c>
      <c r="C19" t="s">
        <v>8</v>
      </c>
      <c r="D19" s="1">
        <f>0.381*(2.92)+0.585*(2.61)+0.28*(4.4)</f>
        <v>3.8713699999999998</v>
      </c>
      <c r="E19" s="1">
        <f>0.381*(1*(1*1.27+0))+0.585*(1*(1*1.33+0))+0.28*(1*(1*1.88+0))</f>
        <v>1.7883199999999999</v>
      </c>
      <c r="F19" s="1">
        <f>0.381*(1*(1*0.03+0))+0.585*(1*(1*0.03+0))+0.28*(1*(1*0.03+0))</f>
        <v>3.7379999999999997E-2</v>
      </c>
      <c r="G19" s="1">
        <f>0.381*(1.31)+0.585*(1.02)+0.28*(1.29)</f>
        <v>1.4570100000000001</v>
      </c>
      <c r="H19" s="1">
        <f>(0.381*(1*(1*0.46+0)))+(0.585*(1*(1*0.48+0)))+(0.28*(1*(1*0.6+0)))</f>
        <v>0.62406000000000006</v>
      </c>
      <c r="I19" s="1">
        <f t="shared" si="9"/>
        <v>2.4920000000000001E-2</v>
      </c>
      <c r="J19" s="1">
        <f>0.381*(0.96)+0.585*(0.74)+0.28*(0.86)</f>
        <v>1.0394600000000001</v>
      </c>
      <c r="K19" s="1">
        <f>(0.381*(1*(1*0.3+0)))+(0.585*(1*(1*0.3+0)))+(0.28*(1*(1*0.36+0)))</f>
        <v>0.3906</v>
      </c>
      <c r="L19" s="1">
        <f t="shared" si="10"/>
        <v>1.2460000000000001E-2</v>
      </c>
    </row>
    <row r="20" spans="1:12" x14ac:dyDescent="0.3">
      <c r="A20">
        <v>1991</v>
      </c>
      <c r="B20" t="s">
        <v>2</v>
      </c>
      <c r="C20" t="s">
        <v>8</v>
      </c>
      <c r="D20" s="1">
        <f>0.381*(2.92)+0.585*(2.61)+0.28*(4.4)</f>
        <v>3.8713699999999998</v>
      </c>
      <c r="E20" s="1">
        <f>(0.381*(1*(1*1.27+0)))+(0.585*(1*(1*1.33+0)))+(0.28*(1*(1*1.88+0)))</f>
        <v>1.7883199999999999</v>
      </c>
      <c r="F20" s="1">
        <f>0.381*(1*(1*0.03+0))+0.585*(1*(1*0.03+0))+0.28*(1*(1*0.03+0))</f>
        <v>3.7379999999999997E-2</v>
      </c>
      <c r="G20" s="1">
        <f>0.381*(1.31)+0.585*(1.02)+0.28*(1.29)</f>
        <v>1.4570100000000001</v>
      </c>
      <c r="H20" s="1">
        <f>(0.381*(1*(1*0.46+0)))+(0.585*(1*(1*0.48+0)))+(0.28*(1*(1*0.6+0)))</f>
        <v>0.62406000000000006</v>
      </c>
      <c r="I20" s="1">
        <f t="shared" si="9"/>
        <v>2.4920000000000001E-2</v>
      </c>
      <c r="J20" s="1">
        <f>0.381*(0.96)+0.585*(0.74)+0.28*(0.86)</f>
        <v>1.0394600000000001</v>
      </c>
      <c r="K20" s="1">
        <f>(0.381*(1*(1*0.3+0)))+(0.585*(1*(1*0.3+0)))+(0.28*(1*(1*0.36+0)))</f>
        <v>0.3906</v>
      </c>
      <c r="L20" s="1">
        <f t="shared" si="10"/>
        <v>1.2460000000000001E-2</v>
      </c>
    </row>
    <row r="21" spans="1:12" x14ac:dyDescent="0.3">
      <c r="A21">
        <v>1991</v>
      </c>
      <c r="B21" t="s">
        <v>3</v>
      </c>
      <c r="C21" t="s">
        <v>8</v>
      </c>
      <c r="D21" s="1">
        <f>0.381*(2.92)+0.585*(2.61)+0.28*(4.4)</f>
        <v>3.8713699999999998</v>
      </c>
      <c r="E21" s="1">
        <f>(0.381*(1*(1*1.27+0)))+(0.585*(1*(1*1.33+0)))+(0.28*(1*(1*1.88+0)))</f>
        <v>1.7883199999999999</v>
      </c>
      <c r="F21" s="1">
        <f>0.381*(1*(1*0.03+0))+0.585*(1*(1*0.03+0))+0.28*(1*(1*0.03+0))</f>
        <v>3.7379999999999997E-2</v>
      </c>
      <c r="G21" s="1">
        <f>0.381*(1.31)+0.585*(1.02)+0.28*(1.29)</f>
        <v>1.4570100000000001</v>
      </c>
      <c r="H21" s="1">
        <f>(0.381*(1*(1*0.46+0)))+(0.585*(1*(1*0.48+0)))+(0.28*(1*(1*0.6+0)))</f>
        <v>0.62406000000000006</v>
      </c>
      <c r="I21" s="1">
        <f t="shared" si="9"/>
        <v>2.4920000000000001E-2</v>
      </c>
      <c r="J21" s="1">
        <f>0.381*(0.96)+0.585*(0.74)+0.28*(0.86)</f>
        <v>1.0394600000000001</v>
      </c>
      <c r="K21" s="1">
        <f>(0.381*(1*(1*0.3+0)))+(0.585*(1*(1*0.3+0)))+(0.28*(1*(1*0.36+0)))</f>
        <v>0.3906</v>
      </c>
      <c r="L21" s="1">
        <f t="shared" si="10"/>
        <v>1.2460000000000001E-2</v>
      </c>
    </row>
    <row r="22" spans="1:12" x14ac:dyDescent="0.3">
      <c r="A22">
        <v>1992</v>
      </c>
      <c r="B22" t="s">
        <v>2</v>
      </c>
      <c r="C22" t="s">
        <v>9</v>
      </c>
      <c r="D22" s="1">
        <f t="shared" ref="D22:D53" si="11">0.381*(2.25)+0.585*(1.83)+0.28*(2.67)</f>
        <v>2.6753999999999998</v>
      </c>
      <c r="E22" s="1">
        <f t="shared" ref="E22:E37" si="12">(0.381*(1*(1*0.91+0)))+(0.585*(1*(1*0.93+0)))+(0.28*(1*(1*1.26+0)))</f>
        <v>1.24356</v>
      </c>
      <c r="F22" s="1">
        <f t="shared" ref="F22:F37" si="13">(0.381*(1*(1*0.03+0)))+(0.585*(1*(1*0.03+0)))+(0.28*(1*(1*0.03+0)))</f>
        <v>3.7379999999999997E-2</v>
      </c>
      <c r="G22" s="1">
        <f t="shared" ref="G22:G53" si="14">0.381*(1.17)+0.585*(0.89)+0.28*(1.06)</f>
        <v>1.26322</v>
      </c>
      <c r="H22" s="1">
        <f t="shared" ref="H22:H37" si="15">(0.381*(1*(1*0.36+0)))+(0.585*(1*(1*0.37+0)))+(0.28*(1*(1*0.45+0)))</f>
        <v>0.47960999999999998</v>
      </c>
      <c r="I22" s="1">
        <f t="shared" si="9"/>
        <v>2.4920000000000001E-2</v>
      </c>
      <c r="J22" s="1">
        <f t="shared" ref="J22:J53" si="16">0.381*(0.89)+0.585*(0.68)+0.28*(0.77)</f>
        <v>0.95249000000000006</v>
      </c>
      <c r="K22" s="1">
        <f t="shared" ref="K22:K37" si="17">(0.381*(1*(1*0.23+0)))+(0.585*(1*(1*0.23+0)))+(0.28*(1*(1*0.28+0)))</f>
        <v>0.30058000000000001</v>
      </c>
      <c r="L22" s="1">
        <f t="shared" si="10"/>
        <v>1.2460000000000001E-2</v>
      </c>
    </row>
    <row r="23" spans="1:12" x14ac:dyDescent="0.3">
      <c r="A23">
        <v>1992</v>
      </c>
      <c r="B23" t="s">
        <v>3</v>
      </c>
      <c r="C23" t="s">
        <v>9</v>
      </c>
      <c r="D23" s="1">
        <f t="shared" si="11"/>
        <v>2.6753999999999998</v>
      </c>
      <c r="E23" s="1">
        <f t="shared" si="12"/>
        <v>1.24356</v>
      </c>
      <c r="F23" s="1">
        <f t="shared" si="13"/>
        <v>3.7379999999999997E-2</v>
      </c>
      <c r="G23" s="1">
        <f t="shared" si="14"/>
        <v>1.26322</v>
      </c>
      <c r="H23" s="1">
        <f t="shared" si="15"/>
        <v>0.47960999999999998</v>
      </c>
      <c r="I23" s="1">
        <f t="shared" si="9"/>
        <v>2.4920000000000001E-2</v>
      </c>
      <c r="J23" s="1">
        <f t="shared" si="16"/>
        <v>0.95249000000000006</v>
      </c>
      <c r="K23" s="1">
        <f t="shared" si="17"/>
        <v>0.30058000000000001</v>
      </c>
      <c r="L23" s="1">
        <f t="shared" si="10"/>
        <v>1.2460000000000001E-2</v>
      </c>
    </row>
    <row r="24" spans="1:12" x14ac:dyDescent="0.3">
      <c r="A24">
        <v>1993</v>
      </c>
      <c r="B24" t="s">
        <v>2</v>
      </c>
      <c r="C24" t="s">
        <v>9</v>
      </c>
      <c r="D24" s="1">
        <f t="shared" si="11"/>
        <v>2.6753999999999998</v>
      </c>
      <c r="E24" s="1">
        <f t="shared" si="12"/>
        <v>1.24356</v>
      </c>
      <c r="F24" s="1">
        <f t="shared" si="13"/>
        <v>3.7379999999999997E-2</v>
      </c>
      <c r="G24" s="1">
        <f t="shared" si="14"/>
        <v>1.26322</v>
      </c>
      <c r="H24" s="1">
        <f t="shared" si="15"/>
        <v>0.47960999999999998</v>
      </c>
      <c r="I24" s="1">
        <f t="shared" si="9"/>
        <v>2.4920000000000001E-2</v>
      </c>
      <c r="J24" s="1">
        <f t="shared" si="16"/>
        <v>0.95249000000000006</v>
      </c>
      <c r="K24" s="1">
        <f t="shared" si="17"/>
        <v>0.30058000000000001</v>
      </c>
      <c r="L24" s="1">
        <f t="shared" si="10"/>
        <v>1.2460000000000001E-2</v>
      </c>
    </row>
    <row r="25" spans="1:12" x14ac:dyDescent="0.3">
      <c r="A25">
        <v>1993</v>
      </c>
      <c r="B25" t="s">
        <v>3</v>
      </c>
      <c r="C25" t="s">
        <v>9</v>
      </c>
      <c r="D25" s="1">
        <f t="shared" si="11"/>
        <v>2.6753999999999998</v>
      </c>
      <c r="E25" s="1">
        <f t="shared" si="12"/>
        <v>1.24356</v>
      </c>
      <c r="F25" s="1">
        <f t="shared" si="13"/>
        <v>3.7379999999999997E-2</v>
      </c>
      <c r="G25" s="1">
        <f t="shared" si="14"/>
        <v>1.26322</v>
      </c>
      <c r="H25" s="1">
        <f t="shared" si="15"/>
        <v>0.47960999999999998</v>
      </c>
      <c r="I25" s="1">
        <f t="shared" si="9"/>
        <v>2.4920000000000001E-2</v>
      </c>
      <c r="J25" s="1">
        <f t="shared" si="16"/>
        <v>0.95249000000000006</v>
      </c>
      <c r="K25" s="1">
        <f t="shared" si="17"/>
        <v>0.30058000000000001</v>
      </c>
      <c r="L25" s="1">
        <f t="shared" si="10"/>
        <v>1.2460000000000001E-2</v>
      </c>
    </row>
    <row r="26" spans="1:12" x14ac:dyDescent="0.3">
      <c r="A26">
        <v>1994</v>
      </c>
      <c r="B26" t="s">
        <v>2</v>
      </c>
      <c r="C26" t="s">
        <v>9</v>
      </c>
      <c r="D26" s="1">
        <f t="shared" si="11"/>
        <v>2.6753999999999998</v>
      </c>
      <c r="E26" s="1">
        <f t="shared" si="12"/>
        <v>1.24356</v>
      </c>
      <c r="F26" s="1">
        <f t="shared" si="13"/>
        <v>3.7379999999999997E-2</v>
      </c>
      <c r="G26" s="1">
        <f t="shared" si="14"/>
        <v>1.26322</v>
      </c>
      <c r="H26" s="1">
        <f t="shared" si="15"/>
        <v>0.47960999999999998</v>
      </c>
      <c r="I26" s="1">
        <f t="shared" si="9"/>
        <v>2.4920000000000001E-2</v>
      </c>
      <c r="J26" s="1">
        <f t="shared" si="16"/>
        <v>0.95249000000000006</v>
      </c>
      <c r="K26" s="1">
        <f t="shared" si="17"/>
        <v>0.30058000000000001</v>
      </c>
      <c r="L26" s="1">
        <f t="shared" si="10"/>
        <v>1.2460000000000001E-2</v>
      </c>
    </row>
    <row r="27" spans="1:12" x14ac:dyDescent="0.3">
      <c r="A27">
        <v>1994</v>
      </c>
      <c r="B27" t="s">
        <v>3</v>
      </c>
      <c r="C27" t="s">
        <v>9</v>
      </c>
      <c r="D27" s="1">
        <f t="shared" si="11"/>
        <v>2.6753999999999998</v>
      </c>
      <c r="E27" s="1">
        <f t="shared" si="12"/>
        <v>1.24356</v>
      </c>
      <c r="F27" s="1">
        <f t="shared" si="13"/>
        <v>3.7379999999999997E-2</v>
      </c>
      <c r="G27" s="1">
        <f t="shared" si="14"/>
        <v>1.26322</v>
      </c>
      <c r="H27" s="1">
        <f t="shared" si="15"/>
        <v>0.47960999999999998</v>
      </c>
      <c r="I27" s="1">
        <f t="shared" si="9"/>
        <v>2.4920000000000001E-2</v>
      </c>
      <c r="J27" s="1">
        <f t="shared" si="16"/>
        <v>0.95249000000000006</v>
      </c>
      <c r="K27" s="1">
        <f t="shared" si="17"/>
        <v>0.30058000000000001</v>
      </c>
      <c r="L27" s="1">
        <f t="shared" si="10"/>
        <v>1.2460000000000001E-2</v>
      </c>
    </row>
    <row r="28" spans="1:12" x14ac:dyDescent="0.3">
      <c r="A28">
        <v>1995</v>
      </c>
      <c r="B28" t="s">
        <v>2</v>
      </c>
      <c r="C28" t="s">
        <v>9</v>
      </c>
      <c r="D28" s="1">
        <f t="shared" si="11"/>
        <v>2.6753999999999998</v>
      </c>
      <c r="E28" s="1">
        <f t="shared" si="12"/>
        <v>1.24356</v>
      </c>
      <c r="F28" s="1">
        <f t="shared" si="13"/>
        <v>3.7379999999999997E-2</v>
      </c>
      <c r="G28" s="1">
        <f t="shared" si="14"/>
        <v>1.26322</v>
      </c>
      <c r="H28" s="1">
        <f t="shared" si="15"/>
        <v>0.47960999999999998</v>
      </c>
      <c r="I28" s="1">
        <f t="shared" si="9"/>
        <v>2.4920000000000001E-2</v>
      </c>
      <c r="J28" s="1">
        <f t="shared" si="16"/>
        <v>0.95249000000000006</v>
      </c>
      <c r="K28" s="1">
        <f t="shared" si="17"/>
        <v>0.30058000000000001</v>
      </c>
      <c r="L28" s="1">
        <f t="shared" si="10"/>
        <v>1.2460000000000001E-2</v>
      </c>
    </row>
    <row r="29" spans="1:12" x14ac:dyDescent="0.3">
      <c r="A29">
        <v>1995</v>
      </c>
      <c r="B29" t="s">
        <v>3</v>
      </c>
      <c r="C29" t="s">
        <v>9</v>
      </c>
      <c r="D29" s="1">
        <f t="shared" si="11"/>
        <v>2.6753999999999998</v>
      </c>
      <c r="E29" s="1">
        <f t="shared" si="12"/>
        <v>1.24356</v>
      </c>
      <c r="F29" s="1">
        <f t="shared" si="13"/>
        <v>3.7379999999999997E-2</v>
      </c>
      <c r="G29" s="1">
        <f t="shared" si="14"/>
        <v>1.26322</v>
      </c>
      <c r="H29" s="1">
        <f t="shared" si="15"/>
        <v>0.47960999999999998</v>
      </c>
      <c r="I29" s="1">
        <f t="shared" si="9"/>
        <v>2.4920000000000001E-2</v>
      </c>
      <c r="J29" s="1">
        <f t="shared" si="16"/>
        <v>0.95249000000000006</v>
      </c>
      <c r="K29" s="1">
        <f t="shared" si="17"/>
        <v>0.30058000000000001</v>
      </c>
      <c r="L29" s="1">
        <f t="shared" si="10"/>
        <v>1.2460000000000001E-2</v>
      </c>
    </row>
    <row r="30" spans="1:12" x14ac:dyDescent="0.3">
      <c r="A30">
        <v>1996</v>
      </c>
      <c r="B30" t="s">
        <v>2</v>
      </c>
      <c r="C30" t="s">
        <v>9</v>
      </c>
      <c r="D30" s="1">
        <f t="shared" si="11"/>
        <v>2.6753999999999998</v>
      </c>
      <c r="E30" s="1">
        <f t="shared" si="12"/>
        <v>1.24356</v>
      </c>
      <c r="F30" s="1">
        <f t="shared" si="13"/>
        <v>3.7379999999999997E-2</v>
      </c>
      <c r="G30" s="1">
        <f t="shared" si="14"/>
        <v>1.26322</v>
      </c>
      <c r="H30" s="1">
        <f t="shared" si="15"/>
        <v>0.47960999999999998</v>
      </c>
      <c r="I30" s="1">
        <f t="shared" si="9"/>
        <v>2.4920000000000001E-2</v>
      </c>
      <c r="J30" s="1">
        <f t="shared" si="16"/>
        <v>0.95249000000000006</v>
      </c>
      <c r="K30" s="1">
        <f t="shared" si="17"/>
        <v>0.30058000000000001</v>
      </c>
      <c r="L30" s="1">
        <f t="shared" si="10"/>
        <v>1.2460000000000001E-2</v>
      </c>
    </row>
    <row r="31" spans="1:12" x14ac:dyDescent="0.3">
      <c r="A31">
        <v>1996</v>
      </c>
      <c r="B31" t="s">
        <v>3</v>
      </c>
      <c r="C31" t="s">
        <v>9</v>
      </c>
      <c r="D31" s="1">
        <f t="shared" si="11"/>
        <v>2.6753999999999998</v>
      </c>
      <c r="E31" s="1">
        <f t="shared" si="12"/>
        <v>1.24356</v>
      </c>
      <c r="F31" s="1">
        <f t="shared" si="13"/>
        <v>3.7379999999999997E-2</v>
      </c>
      <c r="G31" s="1">
        <f t="shared" si="14"/>
        <v>1.26322</v>
      </c>
      <c r="H31" s="1">
        <f t="shared" si="15"/>
        <v>0.47960999999999998</v>
      </c>
      <c r="I31" s="1">
        <f t="shared" si="9"/>
        <v>2.4920000000000001E-2</v>
      </c>
      <c r="J31" s="1">
        <f t="shared" si="16"/>
        <v>0.95249000000000006</v>
      </c>
      <c r="K31" s="1">
        <f t="shared" si="17"/>
        <v>0.30058000000000001</v>
      </c>
      <c r="L31" s="1">
        <f t="shared" si="10"/>
        <v>1.2460000000000001E-2</v>
      </c>
    </row>
    <row r="32" spans="1:12" x14ac:dyDescent="0.3">
      <c r="A32">
        <v>1997</v>
      </c>
      <c r="B32" t="s">
        <v>2</v>
      </c>
      <c r="C32" t="s">
        <v>10</v>
      </c>
      <c r="D32" s="1">
        <f t="shared" si="11"/>
        <v>2.6753999999999998</v>
      </c>
      <c r="E32" s="1">
        <f t="shared" si="12"/>
        <v>1.24356</v>
      </c>
      <c r="F32" s="1">
        <f t="shared" si="13"/>
        <v>3.7379999999999997E-2</v>
      </c>
      <c r="G32" s="1">
        <f t="shared" si="14"/>
        <v>1.26322</v>
      </c>
      <c r="H32" s="1">
        <f t="shared" si="15"/>
        <v>0.47960999999999998</v>
      </c>
      <c r="I32" s="1">
        <f t="shared" si="9"/>
        <v>2.4920000000000001E-2</v>
      </c>
      <c r="J32" s="1">
        <f t="shared" si="16"/>
        <v>0.95249000000000006</v>
      </c>
      <c r="K32" s="1">
        <f t="shared" si="17"/>
        <v>0.30058000000000001</v>
      </c>
      <c r="L32" s="1">
        <f t="shared" si="10"/>
        <v>1.2460000000000001E-2</v>
      </c>
    </row>
    <row r="33" spans="1:12" x14ac:dyDescent="0.3">
      <c r="A33">
        <v>1997</v>
      </c>
      <c r="B33" t="s">
        <v>3</v>
      </c>
      <c r="C33" t="s">
        <v>10</v>
      </c>
      <c r="D33" s="1">
        <f t="shared" si="11"/>
        <v>2.6753999999999998</v>
      </c>
      <c r="E33" s="1">
        <f t="shared" si="12"/>
        <v>1.24356</v>
      </c>
      <c r="F33" s="1">
        <f t="shared" si="13"/>
        <v>3.7379999999999997E-2</v>
      </c>
      <c r="G33" s="1">
        <f t="shared" si="14"/>
        <v>1.26322</v>
      </c>
      <c r="H33" s="1">
        <f t="shared" si="15"/>
        <v>0.47960999999999998</v>
      </c>
      <c r="I33" s="1">
        <f t="shared" si="9"/>
        <v>2.4920000000000001E-2</v>
      </c>
      <c r="J33" s="1">
        <f t="shared" si="16"/>
        <v>0.95249000000000006</v>
      </c>
      <c r="K33" s="1">
        <f t="shared" si="17"/>
        <v>0.30058000000000001</v>
      </c>
      <c r="L33" s="1">
        <f t="shared" si="10"/>
        <v>1.2460000000000001E-2</v>
      </c>
    </row>
    <row r="34" spans="1:12" x14ac:dyDescent="0.3">
      <c r="A34">
        <v>1998</v>
      </c>
      <c r="B34" t="s">
        <v>2</v>
      </c>
      <c r="C34" t="s">
        <v>10</v>
      </c>
      <c r="D34" s="1">
        <f t="shared" si="11"/>
        <v>2.6753999999999998</v>
      </c>
      <c r="E34" s="1">
        <f t="shared" si="12"/>
        <v>1.24356</v>
      </c>
      <c r="F34" s="1">
        <f t="shared" si="13"/>
        <v>3.7379999999999997E-2</v>
      </c>
      <c r="G34" s="1">
        <f t="shared" si="14"/>
        <v>1.26322</v>
      </c>
      <c r="H34" s="1">
        <f t="shared" si="15"/>
        <v>0.47960999999999998</v>
      </c>
      <c r="I34" s="1">
        <f t="shared" si="9"/>
        <v>2.4920000000000001E-2</v>
      </c>
      <c r="J34" s="1">
        <f t="shared" si="16"/>
        <v>0.95249000000000006</v>
      </c>
      <c r="K34" s="1">
        <f t="shared" si="17"/>
        <v>0.30058000000000001</v>
      </c>
      <c r="L34" s="1">
        <f t="shared" si="10"/>
        <v>1.2460000000000001E-2</v>
      </c>
    </row>
    <row r="35" spans="1:12" x14ac:dyDescent="0.3">
      <c r="A35">
        <v>1998</v>
      </c>
      <c r="B35" t="s">
        <v>3</v>
      </c>
      <c r="C35" t="s">
        <v>10</v>
      </c>
      <c r="D35" s="1">
        <f t="shared" si="11"/>
        <v>2.6753999999999998</v>
      </c>
      <c r="E35" s="1">
        <f t="shared" si="12"/>
        <v>1.24356</v>
      </c>
      <c r="F35" s="1">
        <f t="shared" si="13"/>
        <v>3.7379999999999997E-2</v>
      </c>
      <c r="G35" s="1">
        <f t="shared" si="14"/>
        <v>1.26322</v>
      </c>
      <c r="H35" s="1">
        <f t="shared" si="15"/>
        <v>0.47960999999999998</v>
      </c>
      <c r="I35" s="1">
        <f t="shared" si="9"/>
        <v>2.4920000000000001E-2</v>
      </c>
      <c r="J35" s="1">
        <f t="shared" si="16"/>
        <v>0.95249000000000006</v>
      </c>
      <c r="K35" s="1">
        <f t="shared" si="17"/>
        <v>0.30058000000000001</v>
      </c>
      <c r="L35" s="1">
        <f t="shared" si="10"/>
        <v>1.2460000000000001E-2</v>
      </c>
    </row>
    <row r="36" spans="1:12" x14ac:dyDescent="0.3">
      <c r="A36">
        <v>1999</v>
      </c>
      <c r="B36" t="s">
        <v>2</v>
      </c>
      <c r="C36" t="s">
        <v>10</v>
      </c>
      <c r="D36" s="1">
        <f t="shared" si="11"/>
        <v>2.6753999999999998</v>
      </c>
      <c r="E36" s="1">
        <f t="shared" si="12"/>
        <v>1.24356</v>
      </c>
      <c r="F36" s="1">
        <f t="shared" si="13"/>
        <v>3.7379999999999997E-2</v>
      </c>
      <c r="G36" s="1">
        <f t="shared" si="14"/>
        <v>1.26322</v>
      </c>
      <c r="H36" s="1">
        <f t="shared" si="15"/>
        <v>0.47960999999999998</v>
      </c>
      <c r="I36" s="1">
        <f t="shared" si="9"/>
        <v>2.4920000000000001E-2</v>
      </c>
      <c r="J36" s="1">
        <f t="shared" si="16"/>
        <v>0.95249000000000006</v>
      </c>
      <c r="K36" s="1">
        <f t="shared" si="17"/>
        <v>0.30058000000000001</v>
      </c>
      <c r="L36" s="1">
        <f t="shared" si="10"/>
        <v>1.2460000000000001E-2</v>
      </c>
    </row>
    <row r="37" spans="1:12" x14ac:dyDescent="0.3">
      <c r="A37">
        <v>1999</v>
      </c>
      <c r="B37" t="s">
        <v>3</v>
      </c>
      <c r="C37" t="s">
        <v>10</v>
      </c>
      <c r="D37" s="1">
        <f t="shared" si="11"/>
        <v>2.6753999999999998</v>
      </c>
      <c r="E37" s="1">
        <f t="shared" si="12"/>
        <v>1.24356</v>
      </c>
      <c r="F37" s="1">
        <f t="shared" si="13"/>
        <v>3.7379999999999997E-2</v>
      </c>
      <c r="G37" s="1">
        <f t="shared" si="14"/>
        <v>1.26322</v>
      </c>
      <c r="H37" s="1">
        <f t="shared" si="15"/>
        <v>0.47960999999999998</v>
      </c>
      <c r="I37" s="1">
        <f t="shared" si="9"/>
        <v>2.4920000000000001E-2</v>
      </c>
      <c r="J37" s="1">
        <f t="shared" si="16"/>
        <v>0.95249000000000006</v>
      </c>
      <c r="K37" s="1">
        <f t="shared" si="17"/>
        <v>0.30058000000000001</v>
      </c>
      <c r="L37" s="1">
        <f t="shared" si="10"/>
        <v>1.2460000000000001E-2</v>
      </c>
    </row>
    <row r="38" spans="1:12" x14ac:dyDescent="0.3">
      <c r="A38">
        <v>2000</v>
      </c>
      <c r="B38" t="s">
        <v>2</v>
      </c>
      <c r="C38" t="s">
        <v>10</v>
      </c>
      <c r="D38" s="1">
        <f t="shared" si="11"/>
        <v>2.6753999999999998</v>
      </c>
      <c r="E38" s="1">
        <f>0.381*(0.56*(1*0.91+0)+((1-0.56)*0.09))+0.585*(0.56*(1*0.93+0)+((1-0.56)*0.09))+0.28*(0.56*(1*1.26+0)+((1-0.56)*0.09))</f>
        <v>0.74573520000000004</v>
      </c>
      <c r="F38" s="1">
        <f>0.381*(0.56*(1*0.03+0)+((1-0.56)*0.03))+0.585*(0.56*(1*0.03+0)+((1-0.56)*0.03))+0.28*(0.56*(1*0.03+0)+((1-0.56)*0.03))</f>
        <v>3.7379999999999997E-2</v>
      </c>
      <c r="G38" s="1">
        <f t="shared" si="14"/>
        <v>1.26322</v>
      </c>
      <c r="H38" s="1">
        <f>0.381*(0.56*(1*0.36+0)+((1-0.56)*0.06))+0.585*(0.56*(1*0.37+0)+((1-0.56)*0.06))+0.28*(0.56*(1*0.45+0)+((1-0.56)*0.06))</f>
        <v>0.30147600000000002</v>
      </c>
      <c r="I38" s="1">
        <f>0.381*(0.56*(1*0.02+0)+((1-0.56)*0.02))+0.585*(0.56*(1*0.02+0)+((1-0.56)*0.02))+0.28*(0.56*(1*0.02+0)+((1-0.56)*0.02))</f>
        <v>2.4920000000000001E-2</v>
      </c>
      <c r="J38" s="1">
        <f t="shared" si="16"/>
        <v>0.95249000000000006</v>
      </c>
      <c r="K38" s="1">
        <f>0.381*(0.56*(1*0.23+0)+((1-0.56)*0.04))+0.585*(0.56*(1*0.23+0)+((1-0.56)*0.04))+0.28*(0.56*(1*0.28+0)+((1-0.56)*0.04))</f>
        <v>0.19025440000000005</v>
      </c>
      <c r="L38" s="1">
        <f>0.381*(0.56*(1*0.01+0)+((1-0.56)*0.01))+0.585*(0.56*(1*0.01+0)+((1-0.56)*0.01))+0.28*(0.56*(1*0.01+0)+((1-0.56)*0.01))</f>
        <v>1.2460000000000001E-2</v>
      </c>
    </row>
    <row r="39" spans="1:12" x14ac:dyDescent="0.3">
      <c r="A39">
        <v>2000</v>
      </c>
      <c r="B39" t="s">
        <v>3</v>
      </c>
      <c r="C39" t="s">
        <v>10</v>
      </c>
      <c r="D39" s="1">
        <f t="shared" si="11"/>
        <v>2.6753999999999998</v>
      </c>
      <c r="E39" s="1">
        <f>0.381*(0.56*(1*0.91+0)+((1-0.56)*0.09))+0.585*(0.56*(1*0.93+0)+((1-0.56)*0.09))+0.28*(0.56*(1*1.26+0)+((1-0.56)*0.09))</f>
        <v>0.74573520000000004</v>
      </c>
      <c r="F39" s="1">
        <f>0.381*(0.56*(1*0.03+0)+((1-0.56)*0.03))+0.585*(0.56*(1*0.03+0)+((1-0.56)*0.03))+0.28*(0.56*(1*0.03+0)+((1-0.56)*0.03))</f>
        <v>3.7379999999999997E-2</v>
      </c>
      <c r="G39" s="1">
        <f t="shared" si="14"/>
        <v>1.26322</v>
      </c>
      <c r="H39" s="1">
        <f>0.381*(0.56*(1*0.36+0)+((1-0.56)*0.06))+0.585*(0.56*(1*0.37+0)+((1-0.56)*0.06))+0.28*(0.56*(1*0.45+0)+((1-0.56)*0.06))</f>
        <v>0.30147600000000002</v>
      </c>
      <c r="I39" s="1">
        <f>0.381*(0.56*(1*0.02+0)+((1-0.56)*0.02))+0.585*(0.56*(1*0.02+0)+((1-0.56)*0.02))+0.28*(0.56*(1*0.02+0)+((1-0.56)*0.02))</f>
        <v>2.4920000000000001E-2</v>
      </c>
      <c r="J39" s="1">
        <f t="shared" si="16"/>
        <v>0.95249000000000006</v>
      </c>
      <c r="K39" s="1">
        <f>0.381*(0.56*(1*0.23+0)+((1-0.56)*0.04))+0.585*(0.56*(1*0.23+0)+((1-0.56)*0.04))+0.28*(0.56*(1*0.28+0)+((1-0.56)*0.04))</f>
        <v>0.19025440000000005</v>
      </c>
      <c r="L39" s="1">
        <f>0.381*(0.56*(1*0.01+0)+((1-0.56)*0.01))+0.585*(0.56*(1*0.01+0)+((1-0.56)*0.01))+0.28*(0.56*(1*0.01+0)+((1-0.56)*0.01))</f>
        <v>1.2460000000000001E-2</v>
      </c>
    </row>
    <row r="40" spans="1:12" x14ac:dyDescent="0.3">
      <c r="A40">
        <v>2001</v>
      </c>
      <c r="B40" t="s">
        <v>2</v>
      </c>
      <c r="C40" t="s">
        <v>10</v>
      </c>
      <c r="D40" s="1">
        <f t="shared" si="11"/>
        <v>2.6753999999999998</v>
      </c>
      <c r="E40" s="1">
        <f>0.381*(0.59*(1*0.91+0)+((1-0.59)*0.09))+0.585*(0.59*(1*0.93+0)+((1-0.59)*0.09))+0.28*(0.59*(1*1.26+0)+((1-0.59)*0.09))</f>
        <v>0.77967780000000009</v>
      </c>
      <c r="F40" s="1">
        <f>0.381*(0.59*(1*0.03+0)+((1-0.59)*0.03))+0.585*(0.59*(1*0.03+0)+((1-0.59)*0.03))+0.28*(0.59*(1*0.03+0)+((1-0.59)*0.03))</f>
        <v>3.7379999999999997E-2</v>
      </c>
      <c r="G40" s="1">
        <f t="shared" si="14"/>
        <v>1.26322</v>
      </c>
      <c r="H40" s="1">
        <f>0.381*(0.59*(1*0.36+0)+((1-0.59)*0.06))+0.585*(0.59*(1*0.37+0)+((1-0.59)*0.06))+0.28*(0.59*(1*0.45+0)+((1-0.59)*0.06))</f>
        <v>0.3136215</v>
      </c>
      <c r="I40" s="1">
        <f>0.381*(0.59*(1*0.02+0)+((1-0.59)*0.02))+0.585*(0.59*(1*0.02+0)+((1-0.59)*0.02))+0.28*(0.59*(1*0.02+0)+((1-0.59)*0.02))</f>
        <v>2.4920000000000001E-2</v>
      </c>
      <c r="J40" s="1">
        <f t="shared" si="16"/>
        <v>0.95249000000000006</v>
      </c>
      <c r="K40" s="1">
        <f>0.381*(0.59*(1*0.23+0)+((1-0.59)*0.04))+0.585*(0.59*(1*0.23+0)+((1-0.59)*0.04))+0.28*(0.59*(1*0.28+0)+((1-0.59)*0.04))</f>
        <v>0.1977766</v>
      </c>
      <c r="L40" s="1">
        <f>0.381*(0.59*(1*0.01+0)+((1-0.59)*0.01))+0.585*(0.59*(1*0.01+0)+((1-0.59)*0.01))+0.28*(0.59*(1*0.01+0)+((1-0.59)*0.01))</f>
        <v>1.2460000000000001E-2</v>
      </c>
    </row>
    <row r="41" spans="1:12" x14ac:dyDescent="0.3">
      <c r="A41">
        <v>2001</v>
      </c>
      <c r="B41" t="s">
        <v>3</v>
      </c>
      <c r="C41" t="s">
        <v>10</v>
      </c>
      <c r="D41" s="1">
        <f t="shared" si="11"/>
        <v>2.6753999999999998</v>
      </c>
      <c r="E41" s="1">
        <f>0.381*(0.59*(1*0.91+0)+((1-0.59)*0.09))+0.585*(0.59*(1*0.93+0)+((1-0.59)*0.09))+0.28*(0.59*(1*1.26+0)+((1-0.59)*0.09))</f>
        <v>0.77967780000000009</v>
      </c>
      <c r="F41" s="1">
        <f>0.381*(0.59*(1*0.03+0)+((1-0.59)*0.03))+0.585*(0.59*(1*0.03+0)+((1-0.59)*0.03))+0.28*(0.59*(1*0.03+0)+((1-0.59)*0.03))</f>
        <v>3.7379999999999997E-2</v>
      </c>
      <c r="G41" s="1">
        <f t="shared" si="14"/>
        <v>1.26322</v>
      </c>
      <c r="H41" s="1">
        <f>0.381*(0.59*(1*0.36+0)+((1-0.59)*0.06))+0.585*(0.59*(1*0.37+0)+((1-0.59)*0.06))+0.28*(0.59*(1*0.45+0)+((1-0.59)*0.06))</f>
        <v>0.3136215</v>
      </c>
      <c r="I41" s="1">
        <f>0.381*(0.59*(1*0.02+0)+((1-0.59)*0.02))+0.585*(0.59*(1*0.02+0)+((1-0.59)*0.02))+0.28*(0.59*(1*0.02+0)+((1-0.59)*0.02))</f>
        <v>2.4920000000000001E-2</v>
      </c>
      <c r="J41" s="1">
        <f t="shared" si="16"/>
        <v>0.95249000000000006</v>
      </c>
      <c r="K41" s="1">
        <f>0.381*(0.59*(1*0.23+0)+((1-0.59)*0.04))+0.585*(0.59*(1*0.23+0)+((1-0.59)*0.04))+0.28*(0.59*(1*0.28+0)+((1-0.59)*0.04))</f>
        <v>0.1977766</v>
      </c>
      <c r="L41" s="1">
        <f>0.381*(0.59*(1*0.01+0)+((1-0.59)*0.01))+0.585*(0.59*(1*0.01+0)+((1-0.59)*0.01))+0.28*(0.59*(1*0.01+0)+((1-0.59)*0.01))</f>
        <v>1.2460000000000001E-2</v>
      </c>
    </row>
    <row r="42" spans="1:12" x14ac:dyDescent="0.3">
      <c r="A42">
        <v>2002</v>
      </c>
      <c r="B42" t="s">
        <v>2</v>
      </c>
      <c r="C42" t="s">
        <v>10</v>
      </c>
      <c r="D42" s="1">
        <f t="shared" si="11"/>
        <v>2.6753999999999998</v>
      </c>
      <c r="E42" s="1">
        <f>0.381*(0.88*(1*0.91+0)+((1-0.88)*0.09))+0.585*(0.88*(1*0.93+0)+((1-0.88)*0.09))+0.28*(0.88*(1*1.26+0)+((1-0.88)*0.09))</f>
        <v>1.1077896</v>
      </c>
      <c r="F42" s="1">
        <f>0.381*(0.88*(1*0.03+0)+((1-0.88)*0.03))+0.585*(0.88*(1*0.03+0)+((1-0.88)*0.03))+0.28*(0.88*(1*0.03+0)+((1-0.88)*0.03))</f>
        <v>3.7379999999999997E-2</v>
      </c>
      <c r="G42" s="1">
        <f t="shared" si="14"/>
        <v>1.26322</v>
      </c>
      <c r="H42" s="1">
        <f>0.381*(0.88*(1*0.36+0)+((1-0.88)*0.06))+0.585*(0.88*(1*0.37+0)+((1-0.88)*0.06))+0.28*(0.88*(1*0.45+0)+((1-0.88)*0.06))</f>
        <v>0.43102799999999997</v>
      </c>
      <c r="I42" s="1">
        <f>0.381*(0.88*(1*0.02+0)+((1-0.88)*0.02))+0.585*(0.88*(1*0.02+0)+((1-0.88)*0.02))+0.28*(0.88*(1*0.02+0)+((1-0.88)*0.02))</f>
        <v>2.4920000000000001E-2</v>
      </c>
      <c r="J42" s="1">
        <f t="shared" si="16"/>
        <v>0.95249000000000006</v>
      </c>
      <c r="K42" s="1">
        <f>0.381*(0.88*(1*0.23+0)+((1-0.88)*0.04))+0.585*(0.88*(1*0.23+0)+((1-0.88)*0.04))+0.28*(0.88*(1*0.28+0)+((1-0.88)*0.04))</f>
        <v>0.27049119999999999</v>
      </c>
      <c r="L42" s="1">
        <f>0.381*(0.88*(1*0.01+0)+((1-0.88)*0.01))+0.585*(0.88*(1*0.01+0)+((1-0.88)*0.01))+0.28*(0.88*(1*0.01+0)+((1-0.88)*0.01))</f>
        <v>1.2460000000000001E-2</v>
      </c>
    </row>
    <row r="43" spans="1:12" x14ac:dyDescent="0.3">
      <c r="A43">
        <v>2002</v>
      </c>
      <c r="B43" t="s">
        <v>3</v>
      </c>
      <c r="C43" t="s">
        <v>10</v>
      </c>
      <c r="D43" s="1">
        <f t="shared" si="11"/>
        <v>2.6753999999999998</v>
      </c>
      <c r="E43" s="1">
        <f>0.381*(0.88*(1*0.91+0)+((1-0.88)*0.09))+0.585*(0.88*(1*0.93+0)+((1-0.88)*0.09))+0.28*(0.88*(1*1.26+0)+((1-0.88)*0.09))</f>
        <v>1.1077896</v>
      </c>
      <c r="F43" s="1">
        <f>0.381*(0.88*(1*0.03+0)+((1-0.88)*0.03))+0.585*(0.88*(1*0.03+0)+((1-0.88)*0.03))+0.28*(0.88*(1*0.03+0)+((1-0.88)*0.03))</f>
        <v>3.7379999999999997E-2</v>
      </c>
      <c r="G43" s="1">
        <f t="shared" si="14"/>
        <v>1.26322</v>
      </c>
      <c r="H43" s="1">
        <f>0.381*(0.88*(1*0.36+0)+((1-0.88)*0.06))+0.585*(0.88*(1*0.37+0)+((1-0.88)*0.06))+0.28*(0.88*(1*0.45+0)+((1-0.88)*0.06))</f>
        <v>0.43102799999999997</v>
      </c>
      <c r="I43" s="1">
        <f>0.381*(0.88*(1*0.02+0)+((1-0.88)*0.02))+0.585*(0.88*(1*0.02+0)+((1-0.88)*0.02))+0.28*(0.88*(1*0.02+0)+((1-0.88)*0.02))</f>
        <v>2.4920000000000001E-2</v>
      </c>
      <c r="J43" s="1">
        <f t="shared" si="16"/>
        <v>0.95249000000000006</v>
      </c>
      <c r="K43" s="1">
        <f>0.381*(0.88*(1*0.23+0)+((1-0.88)*0.04))+0.585*(0.88*(1*0.23+0)+((1-0.88)*0.04))+0.28*(0.88*(1*0.28+0)+((1-0.88)*0.04))</f>
        <v>0.27049119999999999</v>
      </c>
      <c r="L43" s="1">
        <f>0.381*(0.88*(1*0.01+0)+((1-0.88)*0.01))+0.585*(0.88*(1*0.01+0)+((1-0.88)*0.01))+0.28*(0.88*(1*0.01+0)+((1-0.88)*0.01))</f>
        <v>1.2460000000000001E-2</v>
      </c>
    </row>
    <row r="44" spans="1:12" x14ac:dyDescent="0.3">
      <c r="A44">
        <v>2003</v>
      </c>
      <c r="B44" t="s">
        <v>2</v>
      </c>
      <c r="C44" t="s">
        <v>10</v>
      </c>
      <c r="D44" s="1">
        <f t="shared" si="11"/>
        <v>2.6753999999999998</v>
      </c>
      <c r="E44" s="1">
        <f t="shared" ref="E44:E75" si="18">0.381*(0*(1*0.91+0)+((1-0)*0.09))+0.585*(0*(1*0.93+0)+((1-0)*0.09))+0.28*(0*(1*1.26+0)+((1-0)*0.09))</f>
        <v>0.11213999999999999</v>
      </c>
      <c r="F44" s="1">
        <f t="shared" ref="F44:F75" si="19">0.381*(0*(1*0.03+0)+((1-0)*0.03))+0.585*(0*(1*0.03+0)+((1-0)*0.03))+0.28*(0*(1*0.03+0)+((1-0)*0.03))</f>
        <v>3.7379999999999997E-2</v>
      </c>
      <c r="G44" s="1">
        <f t="shared" si="14"/>
        <v>1.26322</v>
      </c>
      <c r="H44" s="1">
        <f t="shared" ref="H44:H75" si="20">0.381*(0*(1*0.36+0)+((1-0)*0.06))+0.585*(0*(1*0.37+0)+((1-0)*0.06))+0.28*(0*(1*0.45+0)+((1-0)*0.06))</f>
        <v>7.4759999999999993E-2</v>
      </c>
      <c r="I44" s="1">
        <f t="shared" ref="I44:I75" si="21">0.381*(0*(1*0.02+0)+((1-0)*0.02))+0.585*(0*(1*0.02+0)+((1-0)*0.02))+0.28*(0*(1*0.02+0)+((1-0)*0.02))</f>
        <v>2.4920000000000001E-2</v>
      </c>
      <c r="J44" s="1">
        <f t="shared" si="16"/>
        <v>0.95249000000000006</v>
      </c>
      <c r="K44" s="1">
        <f t="shared" ref="K44:K75" si="22">0.381*(0*(1*0.23+0)+((1-0)*0.04))+0.585*(0*(1*0.23+0)+((1-0)*0.04))+0.28*(0*(1*0.28+0)+((1-0)*0.04))</f>
        <v>4.9840000000000002E-2</v>
      </c>
      <c r="L44" s="1">
        <f t="shared" ref="L44:L75" si="23">0.381*(0*(1*0.01+0)+((1-0)*0.01))+0.585*(0*(1*0.01+0)+((1-0)*0.01))+0.28*(0*(1*0.01+0)+((1-0)*0.01))</f>
        <v>1.2460000000000001E-2</v>
      </c>
    </row>
    <row r="45" spans="1:12" x14ac:dyDescent="0.3">
      <c r="A45">
        <v>2003</v>
      </c>
      <c r="B45" t="s">
        <v>3</v>
      </c>
      <c r="C45" t="s">
        <v>10</v>
      </c>
      <c r="D45" s="1">
        <f t="shared" si="11"/>
        <v>2.6753999999999998</v>
      </c>
      <c r="E45" s="1">
        <f t="shared" si="18"/>
        <v>0.11213999999999999</v>
      </c>
      <c r="F45" s="1">
        <f t="shared" si="19"/>
        <v>3.7379999999999997E-2</v>
      </c>
      <c r="G45" s="1">
        <f t="shared" si="14"/>
        <v>1.26322</v>
      </c>
      <c r="H45" s="1">
        <f t="shared" si="20"/>
        <v>7.4759999999999993E-2</v>
      </c>
      <c r="I45" s="1">
        <f t="shared" si="21"/>
        <v>2.4920000000000001E-2</v>
      </c>
      <c r="J45" s="1">
        <f t="shared" si="16"/>
        <v>0.95249000000000006</v>
      </c>
      <c r="K45" s="1">
        <f t="shared" si="22"/>
        <v>4.9840000000000002E-2</v>
      </c>
      <c r="L45" s="1">
        <f t="shared" si="23"/>
        <v>1.2460000000000001E-2</v>
      </c>
    </row>
    <row r="46" spans="1:12" x14ac:dyDescent="0.3">
      <c r="A46">
        <v>2003</v>
      </c>
      <c r="B46" t="s">
        <v>4</v>
      </c>
      <c r="C46" t="s">
        <v>10</v>
      </c>
      <c r="D46" s="1">
        <f t="shared" si="11"/>
        <v>2.6753999999999998</v>
      </c>
      <c r="E46" s="1">
        <f t="shared" si="18"/>
        <v>0.11213999999999999</v>
      </c>
      <c r="F46" s="1">
        <f t="shared" si="19"/>
        <v>3.7379999999999997E-2</v>
      </c>
      <c r="G46" s="1">
        <f t="shared" si="14"/>
        <v>1.26322</v>
      </c>
      <c r="H46" s="1">
        <f t="shared" si="20"/>
        <v>7.4759999999999993E-2</v>
      </c>
      <c r="I46" s="1">
        <f t="shared" si="21"/>
        <v>2.4920000000000001E-2</v>
      </c>
      <c r="J46" s="1">
        <f t="shared" si="16"/>
        <v>0.95249000000000006</v>
      </c>
      <c r="K46" s="1">
        <f t="shared" si="22"/>
        <v>4.9840000000000002E-2</v>
      </c>
      <c r="L46" s="1">
        <f t="shared" si="23"/>
        <v>1.2460000000000001E-2</v>
      </c>
    </row>
    <row r="47" spans="1:12" x14ac:dyDescent="0.3">
      <c r="A47">
        <v>2003</v>
      </c>
      <c r="B47" t="s">
        <v>5</v>
      </c>
      <c r="C47" t="s">
        <v>10</v>
      </c>
      <c r="D47" s="1">
        <f t="shared" si="11"/>
        <v>2.6753999999999998</v>
      </c>
      <c r="E47" s="1">
        <f t="shared" si="18"/>
        <v>0.11213999999999999</v>
      </c>
      <c r="F47" s="1">
        <f t="shared" si="19"/>
        <v>3.7379999999999997E-2</v>
      </c>
      <c r="G47" s="1">
        <f t="shared" si="14"/>
        <v>1.26322</v>
      </c>
      <c r="H47" s="1">
        <f t="shared" si="20"/>
        <v>7.4759999999999993E-2</v>
      </c>
      <c r="I47" s="1">
        <f t="shared" si="21"/>
        <v>2.4920000000000001E-2</v>
      </c>
      <c r="J47" s="1">
        <f t="shared" si="16"/>
        <v>0.95249000000000006</v>
      </c>
      <c r="K47" s="1">
        <f t="shared" si="22"/>
        <v>4.9840000000000002E-2</v>
      </c>
      <c r="L47" s="1">
        <f t="shared" si="23"/>
        <v>1.2460000000000001E-2</v>
      </c>
    </row>
    <row r="48" spans="1:12" x14ac:dyDescent="0.3">
      <c r="A48">
        <v>2004</v>
      </c>
      <c r="B48" t="s">
        <v>2</v>
      </c>
      <c r="C48" t="s">
        <v>10</v>
      </c>
      <c r="D48" s="1">
        <f t="shared" si="11"/>
        <v>2.6753999999999998</v>
      </c>
      <c r="E48" s="1">
        <f t="shared" si="18"/>
        <v>0.11213999999999999</v>
      </c>
      <c r="F48" s="1">
        <f t="shared" si="19"/>
        <v>3.7379999999999997E-2</v>
      </c>
      <c r="G48" s="1">
        <f t="shared" si="14"/>
        <v>1.26322</v>
      </c>
      <c r="H48" s="1">
        <f t="shared" si="20"/>
        <v>7.4759999999999993E-2</v>
      </c>
      <c r="I48" s="1">
        <f t="shared" si="21"/>
        <v>2.4920000000000001E-2</v>
      </c>
      <c r="J48" s="1">
        <f t="shared" si="16"/>
        <v>0.95249000000000006</v>
      </c>
      <c r="K48" s="1">
        <f t="shared" si="22"/>
        <v>4.9840000000000002E-2</v>
      </c>
      <c r="L48" s="1">
        <f t="shared" si="23"/>
        <v>1.2460000000000001E-2</v>
      </c>
    </row>
    <row r="49" spans="1:12" x14ac:dyDescent="0.3">
      <c r="A49">
        <v>2004</v>
      </c>
      <c r="B49" t="s">
        <v>3</v>
      </c>
      <c r="C49" t="s">
        <v>10</v>
      </c>
      <c r="D49" s="1">
        <f t="shared" si="11"/>
        <v>2.6753999999999998</v>
      </c>
      <c r="E49" s="1">
        <f t="shared" si="18"/>
        <v>0.11213999999999999</v>
      </c>
      <c r="F49" s="1">
        <f t="shared" si="19"/>
        <v>3.7379999999999997E-2</v>
      </c>
      <c r="G49" s="1">
        <f t="shared" si="14"/>
        <v>1.26322</v>
      </c>
      <c r="H49" s="1">
        <f t="shared" si="20"/>
        <v>7.4759999999999993E-2</v>
      </c>
      <c r="I49" s="1">
        <f t="shared" si="21"/>
        <v>2.4920000000000001E-2</v>
      </c>
      <c r="J49" s="1">
        <f t="shared" si="16"/>
        <v>0.95249000000000006</v>
      </c>
      <c r="K49" s="1">
        <f t="shared" si="22"/>
        <v>4.9840000000000002E-2</v>
      </c>
      <c r="L49" s="1">
        <f t="shared" si="23"/>
        <v>1.2460000000000001E-2</v>
      </c>
    </row>
    <row r="50" spans="1:12" x14ac:dyDescent="0.3">
      <c r="A50">
        <v>2004</v>
      </c>
      <c r="B50" t="s">
        <v>4</v>
      </c>
      <c r="C50" t="s">
        <v>10</v>
      </c>
      <c r="D50" s="1">
        <f t="shared" si="11"/>
        <v>2.6753999999999998</v>
      </c>
      <c r="E50" s="1">
        <f t="shared" si="18"/>
        <v>0.11213999999999999</v>
      </c>
      <c r="F50" s="1">
        <f t="shared" si="19"/>
        <v>3.7379999999999997E-2</v>
      </c>
      <c r="G50" s="1">
        <f t="shared" si="14"/>
        <v>1.26322</v>
      </c>
      <c r="H50" s="1">
        <f t="shared" si="20"/>
        <v>7.4759999999999993E-2</v>
      </c>
      <c r="I50" s="1">
        <f t="shared" si="21"/>
        <v>2.4920000000000001E-2</v>
      </c>
      <c r="J50" s="1">
        <f t="shared" si="16"/>
        <v>0.95249000000000006</v>
      </c>
      <c r="K50" s="1">
        <f t="shared" si="22"/>
        <v>4.9840000000000002E-2</v>
      </c>
      <c r="L50" s="1">
        <f t="shared" si="23"/>
        <v>1.2460000000000001E-2</v>
      </c>
    </row>
    <row r="51" spans="1:12" x14ac:dyDescent="0.3">
      <c r="A51">
        <v>2004</v>
      </c>
      <c r="B51" t="s">
        <v>5</v>
      </c>
      <c r="C51" t="s">
        <v>10</v>
      </c>
      <c r="D51" s="1">
        <f t="shared" si="11"/>
        <v>2.6753999999999998</v>
      </c>
      <c r="E51" s="1">
        <f t="shared" si="18"/>
        <v>0.11213999999999999</v>
      </c>
      <c r="F51" s="1">
        <f t="shared" si="19"/>
        <v>3.7379999999999997E-2</v>
      </c>
      <c r="G51" s="1">
        <f t="shared" si="14"/>
        <v>1.26322</v>
      </c>
      <c r="H51" s="1">
        <f t="shared" si="20"/>
        <v>7.4759999999999993E-2</v>
      </c>
      <c r="I51" s="1">
        <f t="shared" si="21"/>
        <v>2.4920000000000001E-2</v>
      </c>
      <c r="J51" s="1">
        <f t="shared" si="16"/>
        <v>0.95249000000000006</v>
      </c>
      <c r="K51" s="1">
        <f t="shared" si="22"/>
        <v>4.9840000000000002E-2</v>
      </c>
      <c r="L51" s="1">
        <f t="shared" si="23"/>
        <v>1.2460000000000001E-2</v>
      </c>
    </row>
    <row r="52" spans="1:12" x14ac:dyDescent="0.3">
      <c r="A52">
        <v>2005</v>
      </c>
      <c r="B52" t="s">
        <v>2</v>
      </c>
      <c r="C52" t="s">
        <v>11</v>
      </c>
      <c r="D52" s="1">
        <f t="shared" si="11"/>
        <v>2.6753999999999998</v>
      </c>
      <c r="E52" s="1">
        <f t="shared" si="18"/>
        <v>0.11213999999999999</v>
      </c>
      <c r="F52" s="1">
        <f t="shared" si="19"/>
        <v>3.7379999999999997E-2</v>
      </c>
      <c r="G52" s="1">
        <f t="shared" si="14"/>
        <v>1.26322</v>
      </c>
      <c r="H52" s="1">
        <f t="shared" si="20"/>
        <v>7.4759999999999993E-2</v>
      </c>
      <c r="I52" s="1">
        <f t="shared" si="21"/>
        <v>2.4920000000000001E-2</v>
      </c>
      <c r="J52" s="1">
        <f t="shared" si="16"/>
        <v>0.95249000000000006</v>
      </c>
      <c r="K52" s="1">
        <f t="shared" si="22"/>
        <v>4.9840000000000002E-2</v>
      </c>
      <c r="L52" s="1">
        <f t="shared" si="23"/>
        <v>1.2460000000000001E-2</v>
      </c>
    </row>
    <row r="53" spans="1:12" x14ac:dyDescent="0.3">
      <c r="A53">
        <v>2005</v>
      </c>
      <c r="B53" t="s">
        <v>3</v>
      </c>
      <c r="C53" t="s">
        <v>11</v>
      </c>
      <c r="D53" s="1">
        <f t="shared" si="11"/>
        <v>2.6753999999999998</v>
      </c>
      <c r="E53" s="1">
        <f t="shared" si="18"/>
        <v>0.11213999999999999</v>
      </c>
      <c r="F53" s="1">
        <f t="shared" si="19"/>
        <v>3.7379999999999997E-2</v>
      </c>
      <c r="G53" s="1">
        <f t="shared" si="14"/>
        <v>1.26322</v>
      </c>
      <c r="H53" s="1">
        <f t="shared" si="20"/>
        <v>7.4759999999999993E-2</v>
      </c>
      <c r="I53" s="1">
        <f t="shared" si="21"/>
        <v>2.4920000000000001E-2</v>
      </c>
      <c r="J53" s="1">
        <f t="shared" si="16"/>
        <v>0.95249000000000006</v>
      </c>
      <c r="K53" s="1">
        <f t="shared" si="22"/>
        <v>4.9840000000000002E-2</v>
      </c>
      <c r="L53" s="1">
        <f t="shared" si="23"/>
        <v>1.2460000000000001E-2</v>
      </c>
    </row>
    <row r="54" spans="1:12" x14ac:dyDescent="0.3">
      <c r="A54">
        <v>2005</v>
      </c>
      <c r="B54" t="s">
        <v>4</v>
      </c>
      <c r="C54" t="s">
        <v>11</v>
      </c>
      <c r="D54" s="1">
        <f t="shared" ref="D54:D85" si="24">0.381*(2.25)+0.585*(1.83)+0.28*(2.67)</f>
        <v>2.6753999999999998</v>
      </c>
      <c r="E54" s="1">
        <f t="shared" si="18"/>
        <v>0.11213999999999999</v>
      </c>
      <c r="F54" s="1">
        <f t="shared" si="19"/>
        <v>3.7379999999999997E-2</v>
      </c>
      <c r="G54" s="1">
        <f t="shared" ref="G54:G85" si="25">0.381*(1.17)+0.585*(0.89)+0.28*(1.06)</f>
        <v>1.26322</v>
      </c>
      <c r="H54" s="1">
        <f t="shared" si="20"/>
        <v>7.4759999999999993E-2</v>
      </c>
      <c r="I54" s="1">
        <f t="shared" si="21"/>
        <v>2.4920000000000001E-2</v>
      </c>
      <c r="J54" s="1">
        <f t="shared" ref="J54:J85" si="26">0.381*(0.89)+0.585*(0.68)+0.28*(0.77)</f>
        <v>0.95249000000000006</v>
      </c>
      <c r="K54" s="1">
        <f t="shared" si="22"/>
        <v>4.9840000000000002E-2</v>
      </c>
      <c r="L54" s="1">
        <f t="shared" si="23"/>
        <v>1.2460000000000001E-2</v>
      </c>
    </row>
    <row r="55" spans="1:12" x14ac:dyDescent="0.3">
      <c r="A55">
        <v>2005</v>
      </c>
      <c r="B55" t="s">
        <v>5</v>
      </c>
      <c r="C55" t="s">
        <v>11</v>
      </c>
      <c r="D55" s="1">
        <f t="shared" si="24"/>
        <v>2.6753999999999998</v>
      </c>
      <c r="E55" s="1">
        <f t="shared" si="18"/>
        <v>0.11213999999999999</v>
      </c>
      <c r="F55" s="1">
        <f t="shared" si="19"/>
        <v>3.7379999999999997E-2</v>
      </c>
      <c r="G55" s="1">
        <f t="shared" si="25"/>
        <v>1.26322</v>
      </c>
      <c r="H55" s="1">
        <f t="shared" si="20"/>
        <v>7.4759999999999993E-2</v>
      </c>
      <c r="I55" s="1">
        <f t="shared" si="21"/>
        <v>2.4920000000000001E-2</v>
      </c>
      <c r="J55" s="1">
        <f t="shared" si="26"/>
        <v>0.95249000000000006</v>
      </c>
      <c r="K55" s="1">
        <f t="shared" si="22"/>
        <v>4.9840000000000002E-2</v>
      </c>
      <c r="L55" s="1">
        <f t="shared" si="23"/>
        <v>1.2460000000000001E-2</v>
      </c>
    </row>
    <row r="56" spans="1:12" x14ac:dyDescent="0.3">
      <c r="A56">
        <v>2006</v>
      </c>
      <c r="B56" t="s">
        <v>2</v>
      </c>
      <c r="C56" t="s">
        <v>11</v>
      </c>
      <c r="D56" s="1">
        <f t="shared" si="24"/>
        <v>2.6753999999999998</v>
      </c>
      <c r="E56" s="1">
        <f t="shared" si="18"/>
        <v>0.11213999999999999</v>
      </c>
      <c r="F56" s="1">
        <f t="shared" si="19"/>
        <v>3.7379999999999997E-2</v>
      </c>
      <c r="G56" s="1">
        <f t="shared" si="25"/>
        <v>1.26322</v>
      </c>
      <c r="H56" s="1">
        <f t="shared" si="20"/>
        <v>7.4759999999999993E-2</v>
      </c>
      <c r="I56" s="1">
        <f t="shared" si="21"/>
        <v>2.4920000000000001E-2</v>
      </c>
      <c r="J56" s="1">
        <f t="shared" si="26"/>
        <v>0.95249000000000006</v>
      </c>
      <c r="K56" s="1">
        <f t="shared" si="22"/>
        <v>4.9840000000000002E-2</v>
      </c>
      <c r="L56" s="1">
        <f t="shared" si="23"/>
        <v>1.2460000000000001E-2</v>
      </c>
    </row>
    <row r="57" spans="1:12" x14ac:dyDescent="0.3">
      <c r="A57">
        <v>2006</v>
      </c>
      <c r="B57" t="s">
        <v>3</v>
      </c>
      <c r="C57" t="s">
        <v>11</v>
      </c>
      <c r="D57" s="1">
        <f t="shared" si="24"/>
        <v>2.6753999999999998</v>
      </c>
      <c r="E57" s="1">
        <f t="shared" si="18"/>
        <v>0.11213999999999999</v>
      </c>
      <c r="F57" s="1">
        <f t="shared" si="19"/>
        <v>3.7379999999999997E-2</v>
      </c>
      <c r="G57" s="1">
        <f t="shared" si="25"/>
        <v>1.26322</v>
      </c>
      <c r="H57" s="1">
        <f t="shared" si="20"/>
        <v>7.4759999999999993E-2</v>
      </c>
      <c r="I57" s="1">
        <f t="shared" si="21"/>
        <v>2.4920000000000001E-2</v>
      </c>
      <c r="J57" s="1">
        <f t="shared" si="26"/>
        <v>0.95249000000000006</v>
      </c>
      <c r="K57" s="1">
        <f t="shared" si="22"/>
        <v>4.9840000000000002E-2</v>
      </c>
      <c r="L57" s="1">
        <f t="shared" si="23"/>
        <v>1.2460000000000001E-2</v>
      </c>
    </row>
    <row r="58" spans="1:12" x14ac:dyDescent="0.3">
      <c r="A58">
        <v>2006</v>
      </c>
      <c r="B58" t="s">
        <v>4</v>
      </c>
      <c r="C58" t="s">
        <v>11</v>
      </c>
      <c r="D58" s="1">
        <f t="shared" si="24"/>
        <v>2.6753999999999998</v>
      </c>
      <c r="E58" s="1">
        <f t="shared" si="18"/>
        <v>0.11213999999999999</v>
      </c>
      <c r="F58" s="1">
        <f t="shared" si="19"/>
        <v>3.7379999999999997E-2</v>
      </c>
      <c r="G58" s="1">
        <f t="shared" si="25"/>
        <v>1.26322</v>
      </c>
      <c r="H58" s="1">
        <f t="shared" si="20"/>
        <v>7.4759999999999993E-2</v>
      </c>
      <c r="I58" s="1">
        <f t="shared" si="21"/>
        <v>2.4920000000000001E-2</v>
      </c>
      <c r="J58" s="1">
        <f t="shared" si="26"/>
        <v>0.95249000000000006</v>
      </c>
      <c r="K58" s="1">
        <f t="shared" si="22"/>
        <v>4.9840000000000002E-2</v>
      </c>
      <c r="L58" s="1">
        <f t="shared" si="23"/>
        <v>1.2460000000000001E-2</v>
      </c>
    </row>
    <row r="59" spans="1:12" x14ac:dyDescent="0.3">
      <c r="A59">
        <v>2006</v>
      </c>
      <c r="B59" t="s">
        <v>5</v>
      </c>
      <c r="C59" t="s">
        <v>11</v>
      </c>
      <c r="D59" s="1">
        <f t="shared" si="24"/>
        <v>2.6753999999999998</v>
      </c>
      <c r="E59" s="1">
        <f t="shared" si="18"/>
        <v>0.11213999999999999</v>
      </c>
      <c r="F59" s="1">
        <f t="shared" si="19"/>
        <v>3.7379999999999997E-2</v>
      </c>
      <c r="G59" s="1">
        <f t="shared" si="25"/>
        <v>1.26322</v>
      </c>
      <c r="H59" s="1">
        <f t="shared" si="20"/>
        <v>7.4759999999999993E-2</v>
      </c>
      <c r="I59" s="1">
        <f t="shared" si="21"/>
        <v>2.4920000000000001E-2</v>
      </c>
      <c r="J59" s="1">
        <f t="shared" si="26"/>
        <v>0.95249000000000006</v>
      </c>
      <c r="K59" s="1">
        <f t="shared" si="22"/>
        <v>4.9840000000000002E-2</v>
      </c>
      <c r="L59" s="1">
        <f t="shared" si="23"/>
        <v>1.2460000000000001E-2</v>
      </c>
    </row>
    <row r="60" spans="1:12" x14ac:dyDescent="0.3">
      <c r="A60">
        <v>2007</v>
      </c>
      <c r="B60" t="s">
        <v>2</v>
      </c>
      <c r="C60" t="s">
        <v>11</v>
      </c>
      <c r="D60" s="1">
        <f t="shared" si="24"/>
        <v>2.6753999999999998</v>
      </c>
      <c r="E60" s="1">
        <f t="shared" si="18"/>
        <v>0.11213999999999999</v>
      </c>
      <c r="F60" s="1">
        <f t="shared" si="19"/>
        <v>3.7379999999999997E-2</v>
      </c>
      <c r="G60" s="1">
        <f t="shared" si="25"/>
        <v>1.26322</v>
      </c>
      <c r="H60" s="1">
        <f t="shared" si="20"/>
        <v>7.4759999999999993E-2</v>
      </c>
      <c r="I60" s="1">
        <f t="shared" si="21"/>
        <v>2.4920000000000001E-2</v>
      </c>
      <c r="J60" s="1">
        <f t="shared" si="26"/>
        <v>0.95249000000000006</v>
      </c>
      <c r="K60" s="1">
        <f t="shared" si="22"/>
        <v>4.9840000000000002E-2</v>
      </c>
      <c r="L60" s="1">
        <f t="shared" si="23"/>
        <v>1.2460000000000001E-2</v>
      </c>
    </row>
    <row r="61" spans="1:12" x14ac:dyDescent="0.3">
      <c r="A61">
        <v>2007</v>
      </c>
      <c r="B61" t="s">
        <v>4</v>
      </c>
      <c r="C61" t="s">
        <v>11</v>
      </c>
      <c r="D61" s="1">
        <f t="shared" si="24"/>
        <v>2.6753999999999998</v>
      </c>
      <c r="E61" s="1">
        <f t="shared" si="18"/>
        <v>0.11213999999999999</v>
      </c>
      <c r="F61" s="1">
        <f t="shared" si="19"/>
        <v>3.7379999999999997E-2</v>
      </c>
      <c r="G61" s="1">
        <f t="shared" si="25"/>
        <v>1.26322</v>
      </c>
      <c r="H61" s="1">
        <f t="shared" si="20"/>
        <v>7.4759999999999993E-2</v>
      </c>
      <c r="I61" s="1">
        <f t="shared" si="21"/>
        <v>2.4920000000000001E-2</v>
      </c>
      <c r="J61" s="1">
        <f t="shared" si="26"/>
        <v>0.95249000000000006</v>
      </c>
      <c r="K61" s="1">
        <f t="shared" si="22"/>
        <v>4.9840000000000002E-2</v>
      </c>
      <c r="L61" s="1">
        <f t="shared" si="23"/>
        <v>1.2460000000000001E-2</v>
      </c>
    </row>
    <row r="62" spans="1:12" x14ac:dyDescent="0.3">
      <c r="A62">
        <v>2007</v>
      </c>
      <c r="B62" t="s">
        <v>5</v>
      </c>
      <c r="C62" t="s">
        <v>11</v>
      </c>
      <c r="D62" s="1">
        <f t="shared" si="24"/>
        <v>2.6753999999999998</v>
      </c>
      <c r="E62" s="1">
        <f t="shared" si="18"/>
        <v>0.11213999999999999</v>
      </c>
      <c r="F62" s="1">
        <f t="shared" si="19"/>
        <v>3.7379999999999997E-2</v>
      </c>
      <c r="G62" s="1">
        <f t="shared" si="25"/>
        <v>1.26322</v>
      </c>
      <c r="H62" s="1">
        <f t="shared" si="20"/>
        <v>7.4759999999999993E-2</v>
      </c>
      <c r="I62" s="1">
        <f t="shared" si="21"/>
        <v>2.4920000000000001E-2</v>
      </c>
      <c r="J62" s="1">
        <f t="shared" si="26"/>
        <v>0.95249000000000006</v>
      </c>
      <c r="K62" s="1">
        <f t="shared" si="22"/>
        <v>4.9840000000000002E-2</v>
      </c>
      <c r="L62" s="1">
        <f t="shared" si="23"/>
        <v>1.2460000000000001E-2</v>
      </c>
    </row>
    <row r="63" spans="1:12" x14ac:dyDescent="0.3">
      <c r="A63">
        <v>2008</v>
      </c>
      <c r="B63" t="s">
        <v>2</v>
      </c>
      <c r="C63" t="s">
        <v>11</v>
      </c>
      <c r="D63" s="1">
        <f t="shared" si="24"/>
        <v>2.6753999999999998</v>
      </c>
      <c r="E63" s="1">
        <f t="shared" si="18"/>
        <v>0.11213999999999999</v>
      </c>
      <c r="F63" s="1">
        <f t="shared" si="19"/>
        <v>3.7379999999999997E-2</v>
      </c>
      <c r="G63" s="1">
        <f t="shared" si="25"/>
        <v>1.26322</v>
      </c>
      <c r="H63" s="1">
        <f t="shared" si="20"/>
        <v>7.4759999999999993E-2</v>
      </c>
      <c r="I63" s="1">
        <f t="shared" si="21"/>
        <v>2.4920000000000001E-2</v>
      </c>
      <c r="J63" s="1">
        <f t="shared" si="26"/>
        <v>0.95249000000000006</v>
      </c>
      <c r="K63" s="1">
        <f t="shared" si="22"/>
        <v>4.9840000000000002E-2</v>
      </c>
      <c r="L63" s="1">
        <f t="shared" si="23"/>
        <v>1.2460000000000001E-2</v>
      </c>
    </row>
    <row r="64" spans="1:12" x14ac:dyDescent="0.3">
      <c r="A64">
        <v>2008</v>
      </c>
      <c r="B64" t="s">
        <v>4</v>
      </c>
      <c r="C64" t="s">
        <v>11</v>
      </c>
      <c r="D64" s="1">
        <f t="shared" si="24"/>
        <v>2.6753999999999998</v>
      </c>
      <c r="E64" s="1">
        <f t="shared" si="18"/>
        <v>0.11213999999999999</v>
      </c>
      <c r="F64" s="1">
        <f t="shared" si="19"/>
        <v>3.7379999999999997E-2</v>
      </c>
      <c r="G64" s="1">
        <f t="shared" si="25"/>
        <v>1.26322</v>
      </c>
      <c r="H64" s="1">
        <f t="shared" si="20"/>
        <v>7.4759999999999993E-2</v>
      </c>
      <c r="I64" s="1">
        <f t="shared" si="21"/>
        <v>2.4920000000000001E-2</v>
      </c>
      <c r="J64" s="1">
        <f t="shared" si="26"/>
        <v>0.95249000000000006</v>
      </c>
      <c r="K64" s="1">
        <f t="shared" si="22"/>
        <v>4.9840000000000002E-2</v>
      </c>
      <c r="L64" s="1">
        <f t="shared" si="23"/>
        <v>1.2460000000000001E-2</v>
      </c>
    </row>
    <row r="65" spans="1:12" x14ac:dyDescent="0.3">
      <c r="A65">
        <v>2008</v>
      </c>
      <c r="B65" t="s">
        <v>5</v>
      </c>
      <c r="C65" t="s">
        <v>11</v>
      </c>
      <c r="D65" s="1">
        <f t="shared" si="24"/>
        <v>2.6753999999999998</v>
      </c>
      <c r="E65" s="1">
        <f t="shared" si="18"/>
        <v>0.11213999999999999</v>
      </c>
      <c r="F65" s="1">
        <f t="shared" si="19"/>
        <v>3.7379999999999997E-2</v>
      </c>
      <c r="G65" s="1">
        <f t="shared" si="25"/>
        <v>1.26322</v>
      </c>
      <c r="H65" s="1">
        <f t="shared" si="20"/>
        <v>7.4759999999999993E-2</v>
      </c>
      <c r="I65" s="1">
        <f t="shared" si="21"/>
        <v>2.4920000000000001E-2</v>
      </c>
      <c r="J65" s="1">
        <f t="shared" si="26"/>
        <v>0.95249000000000006</v>
      </c>
      <c r="K65" s="1">
        <f t="shared" si="22"/>
        <v>4.9840000000000002E-2</v>
      </c>
      <c r="L65" s="1">
        <f t="shared" si="23"/>
        <v>1.2460000000000001E-2</v>
      </c>
    </row>
    <row r="66" spans="1:12" x14ac:dyDescent="0.3">
      <c r="A66">
        <v>2009</v>
      </c>
      <c r="B66" t="s">
        <v>2</v>
      </c>
      <c r="C66" t="s">
        <v>12</v>
      </c>
      <c r="D66" s="1">
        <f t="shared" si="24"/>
        <v>2.6753999999999998</v>
      </c>
      <c r="E66" s="1">
        <f t="shared" si="18"/>
        <v>0.11213999999999999</v>
      </c>
      <c r="F66" s="1">
        <f t="shared" si="19"/>
        <v>3.7379999999999997E-2</v>
      </c>
      <c r="G66" s="1">
        <f t="shared" si="25"/>
        <v>1.26322</v>
      </c>
      <c r="H66" s="1">
        <f t="shared" si="20"/>
        <v>7.4759999999999993E-2</v>
      </c>
      <c r="I66" s="1">
        <f t="shared" si="21"/>
        <v>2.4920000000000001E-2</v>
      </c>
      <c r="J66" s="1">
        <f t="shared" si="26"/>
        <v>0.95249000000000006</v>
      </c>
      <c r="K66" s="1">
        <f t="shared" si="22"/>
        <v>4.9840000000000002E-2</v>
      </c>
      <c r="L66" s="1">
        <f t="shared" si="23"/>
        <v>1.2460000000000001E-2</v>
      </c>
    </row>
    <row r="67" spans="1:12" x14ac:dyDescent="0.3">
      <c r="A67">
        <v>2009</v>
      </c>
      <c r="B67" t="s">
        <v>4</v>
      </c>
      <c r="C67" t="s">
        <v>12</v>
      </c>
      <c r="D67" s="1">
        <f t="shared" si="24"/>
        <v>2.6753999999999998</v>
      </c>
      <c r="E67" s="1">
        <f t="shared" si="18"/>
        <v>0.11213999999999999</v>
      </c>
      <c r="F67" s="1">
        <f t="shared" si="19"/>
        <v>3.7379999999999997E-2</v>
      </c>
      <c r="G67" s="1">
        <f t="shared" si="25"/>
        <v>1.26322</v>
      </c>
      <c r="H67" s="1">
        <f t="shared" si="20"/>
        <v>7.4759999999999993E-2</v>
      </c>
      <c r="I67" s="1">
        <f t="shared" si="21"/>
        <v>2.4920000000000001E-2</v>
      </c>
      <c r="J67" s="1">
        <f t="shared" si="26"/>
        <v>0.95249000000000006</v>
      </c>
      <c r="K67" s="1">
        <f t="shared" si="22"/>
        <v>4.9840000000000002E-2</v>
      </c>
      <c r="L67" s="1">
        <f t="shared" si="23"/>
        <v>1.2460000000000001E-2</v>
      </c>
    </row>
    <row r="68" spans="1:12" x14ac:dyDescent="0.3">
      <c r="A68">
        <v>2009</v>
      </c>
      <c r="B68" t="s">
        <v>5</v>
      </c>
      <c r="C68" t="s">
        <v>12</v>
      </c>
      <c r="D68" s="1">
        <f t="shared" si="24"/>
        <v>2.6753999999999998</v>
      </c>
      <c r="E68" s="1">
        <f t="shared" si="18"/>
        <v>0.11213999999999999</v>
      </c>
      <c r="F68" s="1">
        <f t="shared" si="19"/>
        <v>3.7379999999999997E-2</v>
      </c>
      <c r="G68" s="1">
        <f t="shared" si="25"/>
        <v>1.26322</v>
      </c>
      <c r="H68" s="1">
        <f t="shared" si="20"/>
        <v>7.4759999999999993E-2</v>
      </c>
      <c r="I68" s="1">
        <f t="shared" si="21"/>
        <v>2.4920000000000001E-2</v>
      </c>
      <c r="J68" s="1">
        <f t="shared" si="26"/>
        <v>0.95249000000000006</v>
      </c>
      <c r="K68" s="1">
        <f t="shared" si="22"/>
        <v>4.9840000000000002E-2</v>
      </c>
      <c r="L68" s="1">
        <f t="shared" si="23"/>
        <v>1.2460000000000001E-2</v>
      </c>
    </row>
    <row r="69" spans="1:12" x14ac:dyDescent="0.3">
      <c r="A69">
        <v>2010</v>
      </c>
      <c r="B69" t="s">
        <v>2</v>
      </c>
      <c r="C69" t="s">
        <v>12</v>
      </c>
      <c r="D69" s="1">
        <f t="shared" si="24"/>
        <v>2.6753999999999998</v>
      </c>
      <c r="E69" s="1">
        <f t="shared" si="18"/>
        <v>0.11213999999999999</v>
      </c>
      <c r="F69" s="1">
        <f t="shared" si="19"/>
        <v>3.7379999999999997E-2</v>
      </c>
      <c r="G69" s="1">
        <f t="shared" si="25"/>
        <v>1.26322</v>
      </c>
      <c r="H69" s="1">
        <f t="shared" si="20"/>
        <v>7.4759999999999993E-2</v>
      </c>
      <c r="I69" s="1">
        <f t="shared" si="21"/>
        <v>2.4920000000000001E-2</v>
      </c>
      <c r="J69" s="1">
        <f t="shared" si="26"/>
        <v>0.95249000000000006</v>
      </c>
      <c r="K69" s="1">
        <f t="shared" si="22"/>
        <v>4.9840000000000002E-2</v>
      </c>
      <c r="L69" s="1">
        <f t="shared" si="23"/>
        <v>1.2460000000000001E-2</v>
      </c>
    </row>
    <row r="70" spans="1:12" x14ac:dyDescent="0.3">
      <c r="A70">
        <v>2010</v>
      </c>
      <c r="B70" t="s">
        <v>4</v>
      </c>
      <c r="C70" t="s">
        <v>12</v>
      </c>
      <c r="D70" s="1">
        <f t="shared" si="24"/>
        <v>2.6753999999999998</v>
      </c>
      <c r="E70" s="1">
        <f t="shared" si="18"/>
        <v>0.11213999999999999</v>
      </c>
      <c r="F70" s="1">
        <f t="shared" si="19"/>
        <v>3.7379999999999997E-2</v>
      </c>
      <c r="G70" s="1">
        <f t="shared" si="25"/>
        <v>1.26322</v>
      </c>
      <c r="H70" s="1">
        <f t="shared" si="20"/>
        <v>7.4759999999999993E-2</v>
      </c>
      <c r="I70" s="1">
        <f t="shared" si="21"/>
        <v>2.4920000000000001E-2</v>
      </c>
      <c r="J70" s="1">
        <f t="shared" si="26"/>
        <v>0.95249000000000006</v>
      </c>
      <c r="K70" s="1">
        <f t="shared" si="22"/>
        <v>4.9840000000000002E-2</v>
      </c>
      <c r="L70" s="1">
        <f t="shared" si="23"/>
        <v>1.2460000000000001E-2</v>
      </c>
    </row>
    <row r="71" spans="1:12" x14ac:dyDescent="0.3">
      <c r="A71">
        <v>2010</v>
      </c>
      <c r="B71" t="s">
        <v>5</v>
      </c>
      <c r="C71" t="s">
        <v>12</v>
      </c>
      <c r="D71" s="1">
        <f t="shared" si="24"/>
        <v>2.6753999999999998</v>
      </c>
      <c r="E71" s="1">
        <f t="shared" si="18"/>
        <v>0.11213999999999999</v>
      </c>
      <c r="F71" s="1">
        <f t="shared" si="19"/>
        <v>3.7379999999999997E-2</v>
      </c>
      <c r="G71" s="1">
        <f t="shared" si="25"/>
        <v>1.26322</v>
      </c>
      <c r="H71" s="1">
        <f t="shared" si="20"/>
        <v>7.4759999999999993E-2</v>
      </c>
      <c r="I71" s="1">
        <f t="shared" si="21"/>
        <v>2.4920000000000001E-2</v>
      </c>
      <c r="J71" s="1">
        <f t="shared" si="26"/>
        <v>0.95249000000000006</v>
      </c>
      <c r="K71" s="1">
        <f t="shared" si="22"/>
        <v>4.9840000000000002E-2</v>
      </c>
      <c r="L71" s="1">
        <f t="shared" si="23"/>
        <v>1.2460000000000001E-2</v>
      </c>
    </row>
    <row r="72" spans="1:12" x14ac:dyDescent="0.3">
      <c r="A72">
        <v>2011</v>
      </c>
      <c r="B72" t="s">
        <v>2</v>
      </c>
      <c r="C72" t="s">
        <v>12</v>
      </c>
      <c r="D72" s="1">
        <f t="shared" si="24"/>
        <v>2.6753999999999998</v>
      </c>
      <c r="E72" s="1">
        <f t="shared" si="18"/>
        <v>0.11213999999999999</v>
      </c>
      <c r="F72" s="1">
        <f t="shared" si="19"/>
        <v>3.7379999999999997E-2</v>
      </c>
      <c r="G72" s="1">
        <f t="shared" si="25"/>
        <v>1.26322</v>
      </c>
      <c r="H72" s="1">
        <f t="shared" si="20"/>
        <v>7.4759999999999993E-2</v>
      </c>
      <c r="I72" s="1">
        <f t="shared" si="21"/>
        <v>2.4920000000000001E-2</v>
      </c>
      <c r="J72" s="1">
        <f t="shared" si="26"/>
        <v>0.95249000000000006</v>
      </c>
      <c r="K72" s="1">
        <f t="shared" si="22"/>
        <v>4.9840000000000002E-2</v>
      </c>
      <c r="L72" s="1">
        <f t="shared" si="23"/>
        <v>1.2460000000000001E-2</v>
      </c>
    </row>
    <row r="73" spans="1:12" x14ac:dyDescent="0.3">
      <c r="A73">
        <v>2011</v>
      </c>
      <c r="B73" t="s">
        <v>4</v>
      </c>
      <c r="C73" t="s">
        <v>12</v>
      </c>
      <c r="D73" s="1">
        <f t="shared" si="24"/>
        <v>2.6753999999999998</v>
      </c>
      <c r="E73" s="1">
        <f t="shared" si="18"/>
        <v>0.11213999999999999</v>
      </c>
      <c r="F73" s="1">
        <f t="shared" si="19"/>
        <v>3.7379999999999997E-2</v>
      </c>
      <c r="G73" s="1">
        <f t="shared" si="25"/>
        <v>1.26322</v>
      </c>
      <c r="H73" s="1">
        <f t="shared" si="20"/>
        <v>7.4759999999999993E-2</v>
      </c>
      <c r="I73" s="1">
        <f t="shared" si="21"/>
        <v>2.4920000000000001E-2</v>
      </c>
      <c r="J73" s="1">
        <f t="shared" si="26"/>
        <v>0.95249000000000006</v>
      </c>
      <c r="K73" s="1">
        <f t="shared" si="22"/>
        <v>4.9840000000000002E-2</v>
      </c>
      <c r="L73" s="1">
        <f t="shared" si="23"/>
        <v>1.2460000000000001E-2</v>
      </c>
    </row>
    <row r="74" spans="1:12" x14ac:dyDescent="0.3">
      <c r="A74">
        <v>2011</v>
      </c>
      <c r="B74" t="s">
        <v>5</v>
      </c>
      <c r="C74" t="s">
        <v>12</v>
      </c>
      <c r="D74" s="1">
        <f t="shared" si="24"/>
        <v>2.6753999999999998</v>
      </c>
      <c r="E74" s="1">
        <f t="shared" si="18"/>
        <v>0.11213999999999999</v>
      </c>
      <c r="F74" s="1">
        <f t="shared" si="19"/>
        <v>3.7379999999999997E-2</v>
      </c>
      <c r="G74" s="1">
        <f t="shared" si="25"/>
        <v>1.26322</v>
      </c>
      <c r="H74" s="1">
        <f t="shared" si="20"/>
        <v>7.4759999999999993E-2</v>
      </c>
      <c r="I74" s="1">
        <f t="shared" si="21"/>
        <v>2.4920000000000001E-2</v>
      </c>
      <c r="J74" s="1">
        <f t="shared" si="26"/>
        <v>0.95249000000000006</v>
      </c>
      <c r="K74" s="1">
        <f t="shared" si="22"/>
        <v>4.9840000000000002E-2</v>
      </c>
      <c r="L74" s="1">
        <f t="shared" si="23"/>
        <v>1.2460000000000001E-2</v>
      </c>
    </row>
    <row r="75" spans="1:12" x14ac:dyDescent="0.3">
      <c r="A75">
        <v>2012</v>
      </c>
      <c r="B75" t="s">
        <v>2</v>
      </c>
      <c r="C75" t="s">
        <v>12</v>
      </c>
      <c r="D75" s="1">
        <f t="shared" si="24"/>
        <v>2.6753999999999998</v>
      </c>
      <c r="E75" s="1">
        <f t="shared" si="18"/>
        <v>0.11213999999999999</v>
      </c>
      <c r="F75" s="1">
        <f t="shared" si="19"/>
        <v>3.7379999999999997E-2</v>
      </c>
      <c r="G75" s="1">
        <f t="shared" si="25"/>
        <v>1.26322</v>
      </c>
      <c r="H75" s="1">
        <f t="shared" si="20"/>
        <v>7.4759999999999993E-2</v>
      </c>
      <c r="I75" s="1">
        <f t="shared" si="21"/>
        <v>2.4920000000000001E-2</v>
      </c>
      <c r="J75" s="1">
        <f t="shared" si="26"/>
        <v>0.95249000000000006</v>
      </c>
      <c r="K75" s="1">
        <f t="shared" si="22"/>
        <v>4.9840000000000002E-2</v>
      </c>
      <c r="L75" s="1">
        <f t="shared" si="23"/>
        <v>1.2460000000000001E-2</v>
      </c>
    </row>
    <row r="76" spans="1:12" x14ac:dyDescent="0.3">
      <c r="A76">
        <v>2012</v>
      </c>
      <c r="B76" t="s">
        <v>4</v>
      </c>
      <c r="C76" t="s">
        <v>12</v>
      </c>
      <c r="D76" s="1">
        <f t="shared" si="24"/>
        <v>2.6753999999999998</v>
      </c>
      <c r="E76" s="1">
        <f t="shared" ref="E76:E98" si="27">0.381*(0*(1*0.91+0)+((1-0)*0.09))+0.585*(0*(1*0.93+0)+((1-0)*0.09))+0.28*(0*(1*1.26+0)+((1-0)*0.09))</f>
        <v>0.11213999999999999</v>
      </c>
      <c r="F76" s="1">
        <f t="shared" ref="F76:F98" si="28">0.381*(0*(1*0.03+0)+((1-0)*0.03))+0.585*(0*(1*0.03+0)+((1-0)*0.03))+0.28*(0*(1*0.03+0)+((1-0)*0.03))</f>
        <v>3.7379999999999997E-2</v>
      </c>
      <c r="G76" s="1">
        <f t="shared" si="25"/>
        <v>1.26322</v>
      </c>
      <c r="H76" s="1">
        <f t="shared" ref="H76:H98" si="29">0.381*(0*(1*0.36+0)+((1-0)*0.06))+0.585*(0*(1*0.37+0)+((1-0)*0.06))+0.28*(0*(1*0.45+0)+((1-0)*0.06))</f>
        <v>7.4759999999999993E-2</v>
      </c>
      <c r="I76" s="1">
        <f t="shared" ref="I76:I98" si="30">0.381*(0*(1*0.02+0)+((1-0)*0.02))+0.585*(0*(1*0.02+0)+((1-0)*0.02))+0.28*(0*(1*0.02+0)+((1-0)*0.02))</f>
        <v>2.4920000000000001E-2</v>
      </c>
      <c r="J76" s="1">
        <f t="shared" si="26"/>
        <v>0.95249000000000006</v>
      </c>
      <c r="K76" s="1">
        <f t="shared" ref="K76:K98" si="31">0.381*(0*(1*0.23+0)+((1-0)*0.04))+0.585*(0*(1*0.23+0)+((1-0)*0.04))+0.28*(0*(1*0.28+0)+((1-0)*0.04))</f>
        <v>4.9840000000000002E-2</v>
      </c>
      <c r="L76" s="1">
        <f t="shared" ref="L76:L98" si="32">0.381*(0*(1*0.01+0)+((1-0)*0.01))+0.585*(0*(1*0.01+0)+((1-0)*0.01))+0.28*(0*(1*0.01+0)+((1-0)*0.01))</f>
        <v>1.2460000000000001E-2</v>
      </c>
    </row>
    <row r="77" spans="1:12" x14ac:dyDescent="0.3">
      <c r="A77">
        <v>2012</v>
      </c>
      <c r="B77" t="s">
        <v>5</v>
      </c>
      <c r="C77" t="s">
        <v>12</v>
      </c>
      <c r="D77" s="1">
        <f t="shared" si="24"/>
        <v>2.6753999999999998</v>
      </c>
      <c r="E77" s="1">
        <f t="shared" si="27"/>
        <v>0.11213999999999999</v>
      </c>
      <c r="F77" s="1">
        <f t="shared" si="28"/>
        <v>3.7379999999999997E-2</v>
      </c>
      <c r="G77" s="1">
        <f t="shared" si="25"/>
        <v>1.26322</v>
      </c>
      <c r="H77" s="1">
        <f t="shared" si="29"/>
        <v>7.4759999999999993E-2</v>
      </c>
      <c r="I77" s="1">
        <f t="shared" si="30"/>
        <v>2.4920000000000001E-2</v>
      </c>
      <c r="J77" s="1">
        <f t="shared" si="26"/>
        <v>0.95249000000000006</v>
      </c>
      <c r="K77" s="1">
        <f t="shared" si="31"/>
        <v>4.9840000000000002E-2</v>
      </c>
      <c r="L77" s="1">
        <f t="shared" si="32"/>
        <v>1.2460000000000001E-2</v>
      </c>
    </row>
    <row r="78" spans="1:12" x14ac:dyDescent="0.3">
      <c r="A78">
        <v>2013</v>
      </c>
      <c r="B78" t="s">
        <v>2</v>
      </c>
      <c r="C78" t="s">
        <v>12</v>
      </c>
      <c r="D78" s="1">
        <f t="shared" si="24"/>
        <v>2.6753999999999998</v>
      </c>
      <c r="E78" s="1">
        <f t="shared" si="27"/>
        <v>0.11213999999999999</v>
      </c>
      <c r="F78" s="1">
        <f t="shared" si="28"/>
        <v>3.7379999999999997E-2</v>
      </c>
      <c r="G78" s="1">
        <f t="shared" si="25"/>
        <v>1.26322</v>
      </c>
      <c r="H78" s="1">
        <f t="shared" si="29"/>
        <v>7.4759999999999993E-2</v>
      </c>
      <c r="I78" s="1">
        <f t="shared" si="30"/>
        <v>2.4920000000000001E-2</v>
      </c>
      <c r="J78" s="1">
        <f t="shared" si="26"/>
        <v>0.95249000000000006</v>
      </c>
      <c r="K78" s="1">
        <f t="shared" si="31"/>
        <v>4.9840000000000002E-2</v>
      </c>
      <c r="L78" s="1">
        <f t="shared" si="32"/>
        <v>1.2460000000000001E-2</v>
      </c>
    </row>
    <row r="79" spans="1:12" x14ac:dyDescent="0.3">
      <c r="A79">
        <v>2013</v>
      </c>
      <c r="B79" t="s">
        <v>4</v>
      </c>
      <c r="C79" t="s">
        <v>12</v>
      </c>
      <c r="D79" s="1">
        <f t="shared" si="24"/>
        <v>2.6753999999999998</v>
      </c>
      <c r="E79" s="1">
        <f t="shared" si="27"/>
        <v>0.11213999999999999</v>
      </c>
      <c r="F79" s="1">
        <f t="shared" si="28"/>
        <v>3.7379999999999997E-2</v>
      </c>
      <c r="G79" s="1">
        <f t="shared" si="25"/>
        <v>1.26322</v>
      </c>
      <c r="H79" s="1">
        <f t="shared" si="29"/>
        <v>7.4759999999999993E-2</v>
      </c>
      <c r="I79" s="1">
        <f t="shared" si="30"/>
        <v>2.4920000000000001E-2</v>
      </c>
      <c r="J79" s="1">
        <f t="shared" si="26"/>
        <v>0.95249000000000006</v>
      </c>
      <c r="K79" s="1">
        <f t="shared" si="31"/>
        <v>4.9840000000000002E-2</v>
      </c>
      <c r="L79" s="1">
        <f t="shared" si="32"/>
        <v>1.2460000000000001E-2</v>
      </c>
    </row>
    <row r="80" spans="1:12" x14ac:dyDescent="0.3">
      <c r="A80">
        <v>2013</v>
      </c>
      <c r="B80" t="s">
        <v>5</v>
      </c>
      <c r="C80" t="s">
        <v>12</v>
      </c>
      <c r="D80" s="1">
        <f t="shared" si="24"/>
        <v>2.6753999999999998</v>
      </c>
      <c r="E80" s="1">
        <f t="shared" si="27"/>
        <v>0.11213999999999999</v>
      </c>
      <c r="F80" s="1">
        <f t="shared" si="28"/>
        <v>3.7379999999999997E-2</v>
      </c>
      <c r="G80" s="1">
        <f t="shared" si="25"/>
        <v>1.26322</v>
      </c>
      <c r="H80" s="1">
        <f t="shared" si="29"/>
        <v>7.4759999999999993E-2</v>
      </c>
      <c r="I80" s="1">
        <f t="shared" si="30"/>
        <v>2.4920000000000001E-2</v>
      </c>
      <c r="J80" s="1">
        <f t="shared" si="26"/>
        <v>0.95249000000000006</v>
      </c>
      <c r="K80" s="1">
        <f t="shared" si="31"/>
        <v>4.9840000000000002E-2</v>
      </c>
      <c r="L80" s="1">
        <f t="shared" si="32"/>
        <v>1.2460000000000001E-2</v>
      </c>
    </row>
    <row r="81" spans="1:12" x14ac:dyDescent="0.3">
      <c r="A81">
        <v>2014</v>
      </c>
      <c r="B81" t="s">
        <v>2</v>
      </c>
      <c r="C81" t="s">
        <v>12</v>
      </c>
      <c r="D81" s="1">
        <f t="shared" si="24"/>
        <v>2.6753999999999998</v>
      </c>
      <c r="E81" s="1">
        <f t="shared" si="27"/>
        <v>0.11213999999999999</v>
      </c>
      <c r="F81" s="1">
        <f t="shared" si="28"/>
        <v>3.7379999999999997E-2</v>
      </c>
      <c r="G81" s="1">
        <f t="shared" si="25"/>
        <v>1.26322</v>
      </c>
      <c r="H81" s="1">
        <f t="shared" si="29"/>
        <v>7.4759999999999993E-2</v>
      </c>
      <c r="I81" s="1">
        <f t="shared" si="30"/>
        <v>2.4920000000000001E-2</v>
      </c>
      <c r="J81" s="1">
        <f t="shared" si="26"/>
        <v>0.95249000000000006</v>
      </c>
      <c r="K81" s="1">
        <f t="shared" si="31"/>
        <v>4.9840000000000002E-2</v>
      </c>
      <c r="L81" s="1">
        <f t="shared" si="32"/>
        <v>1.2460000000000001E-2</v>
      </c>
    </row>
    <row r="82" spans="1:12" x14ac:dyDescent="0.3">
      <c r="A82">
        <v>2014</v>
      </c>
      <c r="B82" t="s">
        <v>4</v>
      </c>
      <c r="C82" t="s">
        <v>12</v>
      </c>
      <c r="D82" s="1">
        <f t="shared" si="24"/>
        <v>2.6753999999999998</v>
      </c>
      <c r="E82" s="1">
        <f t="shared" si="27"/>
        <v>0.11213999999999999</v>
      </c>
      <c r="F82" s="1">
        <f t="shared" si="28"/>
        <v>3.7379999999999997E-2</v>
      </c>
      <c r="G82" s="1">
        <f t="shared" si="25"/>
        <v>1.26322</v>
      </c>
      <c r="H82" s="1">
        <f t="shared" si="29"/>
        <v>7.4759999999999993E-2</v>
      </c>
      <c r="I82" s="1">
        <f t="shared" si="30"/>
        <v>2.4920000000000001E-2</v>
      </c>
      <c r="J82" s="1">
        <f t="shared" si="26"/>
        <v>0.95249000000000006</v>
      </c>
      <c r="K82" s="1">
        <f t="shared" si="31"/>
        <v>4.9840000000000002E-2</v>
      </c>
      <c r="L82" s="1">
        <f t="shared" si="32"/>
        <v>1.2460000000000001E-2</v>
      </c>
    </row>
    <row r="83" spans="1:12" x14ac:dyDescent="0.3">
      <c r="A83">
        <v>2014</v>
      </c>
      <c r="B83" t="s">
        <v>5</v>
      </c>
      <c r="C83" t="s">
        <v>12</v>
      </c>
      <c r="D83" s="1">
        <f t="shared" si="24"/>
        <v>2.6753999999999998</v>
      </c>
      <c r="E83" s="1">
        <f t="shared" si="27"/>
        <v>0.11213999999999999</v>
      </c>
      <c r="F83" s="1">
        <f t="shared" si="28"/>
        <v>3.7379999999999997E-2</v>
      </c>
      <c r="G83" s="1">
        <f t="shared" si="25"/>
        <v>1.26322</v>
      </c>
      <c r="H83" s="1">
        <f t="shared" si="29"/>
        <v>7.4759999999999993E-2</v>
      </c>
      <c r="I83" s="1">
        <f t="shared" si="30"/>
        <v>2.4920000000000001E-2</v>
      </c>
      <c r="J83" s="1">
        <f t="shared" si="26"/>
        <v>0.95249000000000006</v>
      </c>
      <c r="K83" s="1">
        <f t="shared" si="31"/>
        <v>4.9840000000000002E-2</v>
      </c>
      <c r="L83" s="1">
        <f t="shared" si="32"/>
        <v>1.2460000000000001E-2</v>
      </c>
    </row>
    <row r="84" spans="1:12" x14ac:dyDescent="0.3">
      <c r="A84">
        <v>2015</v>
      </c>
      <c r="B84" t="s">
        <v>2</v>
      </c>
      <c r="C84" t="s">
        <v>13</v>
      </c>
      <c r="D84" s="1">
        <f t="shared" si="24"/>
        <v>2.6753999999999998</v>
      </c>
      <c r="E84" s="1">
        <f t="shared" si="27"/>
        <v>0.11213999999999999</v>
      </c>
      <c r="F84" s="1">
        <f t="shared" si="28"/>
        <v>3.7379999999999997E-2</v>
      </c>
      <c r="G84" s="1">
        <f t="shared" si="25"/>
        <v>1.26322</v>
      </c>
      <c r="H84" s="1">
        <f t="shared" si="29"/>
        <v>7.4759999999999993E-2</v>
      </c>
      <c r="I84" s="1">
        <f t="shared" si="30"/>
        <v>2.4920000000000001E-2</v>
      </c>
      <c r="J84" s="1">
        <f t="shared" si="26"/>
        <v>0.95249000000000006</v>
      </c>
      <c r="K84" s="1">
        <f t="shared" si="31"/>
        <v>4.9840000000000002E-2</v>
      </c>
      <c r="L84" s="1">
        <f t="shared" si="32"/>
        <v>1.2460000000000001E-2</v>
      </c>
    </row>
    <row r="85" spans="1:12" x14ac:dyDescent="0.3">
      <c r="A85">
        <v>2015</v>
      </c>
      <c r="B85" t="s">
        <v>4</v>
      </c>
      <c r="C85" t="s">
        <v>13</v>
      </c>
      <c r="D85" s="1">
        <f t="shared" si="24"/>
        <v>2.6753999999999998</v>
      </c>
      <c r="E85" s="1">
        <f t="shared" si="27"/>
        <v>0.11213999999999999</v>
      </c>
      <c r="F85" s="1">
        <f t="shared" si="28"/>
        <v>3.7379999999999997E-2</v>
      </c>
      <c r="G85" s="1">
        <f t="shared" si="25"/>
        <v>1.26322</v>
      </c>
      <c r="H85" s="1">
        <f t="shared" si="29"/>
        <v>7.4759999999999993E-2</v>
      </c>
      <c r="I85" s="1">
        <f t="shared" si="30"/>
        <v>2.4920000000000001E-2</v>
      </c>
      <c r="J85" s="1">
        <f t="shared" si="26"/>
        <v>0.95249000000000006</v>
      </c>
      <c r="K85" s="1">
        <f t="shared" si="31"/>
        <v>4.9840000000000002E-2</v>
      </c>
      <c r="L85" s="1">
        <f t="shared" si="32"/>
        <v>1.2460000000000001E-2</v>
      </c>
    </row>
    <row r="86" spans="1:12" x14ac:dyDescent="0.3">
      <c r="A86">
        <v>2015</v>
      </c>
      <c r="B86" t="s">
        <v>5</v>
      </c>
      <c r="C86" t="s">
        <v>13</v>
      </c>
      <c r="D86" s="1">
        <f t="shared" ref="D86:D98" si="33">0.381*(2.25)+0.585*(1.83)+0.28*(2.67)</f>
        <v>2.6753999999999998</v>
      </c>
      <c r="E86" s="1">
        <f t="shared" si="27"/>
        <v>0.11213999999999999</v>
      </c>
      <c r="F86" s="1">
        <f t="shared" si="28"/>
        <v>3.7379999999999997E-2</v>
      </c>
      <c r="G86" s="1">
        <f t="shared" ref="G86:G98" si="34">0.381*(1.17)+0.585*(0.89)+0.28*(1.06)</f>
        <v>1.26322</v>
      </c>
      <c r="H86" s="1">
        <f t="shared" si="29"/>
        <v>7.4759999999999993E-2</v>
      </c>
      <c r="I86" s="1">
        <f t="shared" si="30"/>
        <v>2.4920000000000001E-2</v>
      </c>
      <c r="J86" s="1">
        <f t="shared" ref="J86:J98" si="35">0.381*(0.89)+0.585*(0.68)+0.28*(0.77)</f>
        <v>0.95249000000000006</v>
      </c>
      <c r="K86" s="1">
        <f t="shared" si="31"/>
        <v>4.9840000000000002E-2</v>
      </c>
      <c r="L86" s="1">
        <f t="shared" si="32"/>
        <v>1.2460000000000001E-2</v>
      </c>
    </row>
    <row r="87" spans="1:12" x14ac:dyDescent="0.3">
      <c r="A87">
        <v>2016</v>
      </c>
      <c r="B87" t="s">
        <v>2</v>
      </c>
      <c r="C87" t="s">
        <v>13</v>
      </c>
      <c r="D87" s="1">
        <f t="shared" si="33"/>
        <v>2.6753999999999998</v>
      </c>
      <c r="E87" s="1">
        <f t="shared" si="27"/>
        <v>0.11213999999999999</v>
      </c>
      <c r="F87" s="1">
        <f t="shared" si="28"/>
        <v>3.7379999999999997E-2</v>
      </c>
      <c r="G87" s="1">
        <f t="shared" si="34"/>
        <v>1.26322</v>
      </c>
      <c r="H87" s="1">
        <f t="shared" si="29"/>
        <v>7.4759999999999993E-2</v>
      </c>
      <c r="I87" s="1">
        <f t="shared" si="30"/>
        <v>2.4920000000000001E-2</v>
      </c>
      <c r="J87" s="1">
        <f t="shared" si="35"/>
        <v>0.95249000000000006</v>
      </c>
      <c r="K87" s="1">
        <f t="shared" si="31"/>
        <v>4.9840000000000002E-2</v>
      </c>
      <c r="L87" s="1">
        <f t="shared" si="32"/>
        <v>1.2460000000000001E-2</v>
      </c>
    </row>
    <row r="88" spans="1:12" x14ac:dyDescent="0.3">
      <c r="A88">
        <v>2016</v>
      </c>
      <c r="B88" t="s">
        <v>4</v>
      </c>
      <c r="C88" t="s">
        <v>13</v>
      </c>
      <c r="D88" s="1">
        <f t="shared" si="33"/>
        <v>2.6753999999999998</v>
      </c>
      <c r="E88" s="1">
        <f t="shared" si="27"/>
        <v>0.11213999999999999</v>
      </c>
      <c r="F88" s="1">
        <f t="shared" si="28"/>
        <v>3.7379999999999997E-2</v>
      </c>
      <c r="G88" s="1">
        <f t="shared" si="34"/>
        <v>1.26322</v>
      </c>
      <c r="H88" s="1">
        <f t="shared" si="29"/>
        <v>7.4759999999999993E-2</v>
      </c>
      <c r="I88" s="1">
        <f t="shared" si="30"/>
        <v>2.4920000000000001E-2</v>
      </c>
      <c r="J88" s="1">
        <f t="shared" si="35"/>
        <v>0.95249000000000006</v>
      </c>
      <c r="K88" s="1">
        <f t="shared" si="31"/>
        <v>4.9840000000000002E-2</v>
      </c>
      <c r="L88" s="1">
        <f t="shared" si="32"/>
        <v>1.2460000000000001E-2</v>
      </c>
    </row>
    <row r="89" spans="1:12" x14ac:dyDescent="0.3">
      <c r="A89">
        <v>2016</v>
      </c>
      <c r="B89" t="s">
        <v>5</v>
      </c>
      <c r="C89" t="s">
        <v>13</v>
      </c>
      <c r="D89" s="1">
        <f t="shared" si="33"/>
        <v>2.6753999999999998</v>
      </c>
      <c r="E89" s="1">
        <f t="shared" si="27"/>
        <v>0.11213999999999999</v>
      </c>
      <c r="F89" s="1">
        <f t="shared" si="28"/>
        <v>3.7379999999999997E-2</v>
      </c>
      <c r="G89" s="1">
        <f t="shared" si="34"/>
        <v>1.26322</v>
      </c>
      <c r="H89" s="1">
        <f t="shared" si="29"/>
        <v>7.4759999999999993E-2</v>
      </c>
      <c r="I89" s="1">
        <f t="shared" si="30"/>
        <v>2.4920000000000001E-2</v>
      </c>
      <c r="J89" s="1">
        <f t="shared" si="35"/>
        <v>0.95249000000000006</v>
      </c>
      <c r="K89" s="1">
        <f t="shared" si="31"/>
        <v>4.9840000000000002E-2</v>
      </c>
      <c r="L89" s="1">
        <f t="shared" si="32"/>
        <v>1.2460000000000001E-2</v>
      </c>
    </row>
    <row r="90" spans="1:12" x14ac:dyDescent="0.3">
      <c r="A90">
        <v>2017</v>
      </c>
      <c r="B90" t="s">
        <v>2</v>
      </c>
      <c r="C90" t="s">
        <v>13</v>
      </c>
      <c r="D90" s="1">
        <f t="shared" si="33"/>
        <v>2.6753999999999998</v>
      </c>
      <c r="E90" s="1">
        <f t="shared" si="27"/>
        <v>0.11213999999999999</v>
      </c>
      <c r="F90" s="1">
        <f t="shared" si="28"/>
        <v>3.7379999999999997E-2</v>
      </c>
      <c r="G90" s="1">
        <f t="shared" si="34"/>
        <v>1.26322</v>
      </c>
      <c r="H90" s="1">
        <f t="shared" si="29"/>
        <v>7.4759999999999993E-2</v>
      </c>
      <c r="I90" s="1">
        <f t="shared" si="30"/>
        <v>2.4920000000000001E-2</v>
      </c>
      <c r="J90" s="1">
        <f t="shared" si="35"/>
        <v>0.95249000000000006</v>
      </c>
      <c r="K90" s="1">
        <f t="shared" si="31"/>
        <v>4.9840000000000002E-2</v>
      </c>
      <c r="L90" s="1">
        <f t="shared" si="32"/>
        <v>1.2460000000000001E-2</v>
      </c>
    </row>
    <row r="91" spans="1:12" x14ac:dyDescent="0.3">
      <c r="A91">
        <v>2017</v>
      </c>
      <c r="B91" t="s">
        <v>4</v>
      </c>
      <c r="C91" t="s">
        <v>13</v>
      </c>
      <c r="D91" s="1">
        <f t="shared" si="33"/>
        <v>2.6753999999999998</v>
      </c>
      <c r="E91" s="1">
        <f t="shared" si="27"/>
        <v>0.11213999999999999</v>
      </c>
      <c r="F91" s="1">
        <f t="shared" si="28"/>
        <v>3.7379999999999997E-2</v>
      </c>
      <c r="G91" s="1">
        <f t="shared" si="34"/>
        <v>1.26322</v>
      </c>
      <c r="H91" s="1">
        <f t="shared" si="29"/>
        <v>7.4759999999999993E-2</v>
      </c>
      <c r="I91" s="1">
        <f t="shared" si="30"/>
        <v>2.4920000000000001E-2</v>
      </c>
      <c r="J91" s="1">
        <f t="shared" si="35"/>
        <v>0.95249000000000006</v>
      </c>
      <c r="K91" s="1">
        <f t="shared" si="31"/>
        <v>4.9840000000000002E-2</v>
      </c>
      <c r="L91" s="1">
        <f t="shared" si="32"/>
        <v>1.2460000000000001E-2</v>
      </c>
    </row>
    <row r="92" spans="1:12" x14ac:dyDescent="0.3">
      <c r="A92">
        <v>2017</v>
      </c>
      <c r="B92" t="s">
        <v>5</v>
      </c>
      <c r="C92" t="s">
        <v>13</v>
      </c>
      <c r="D92" s="1">
        <f t="shared" si="33"/>
        <v>2.6753999999999998</v>
      </c>
      <c r="E92" s="1">
        <f t="shared" si="27"/>
        <v>0.11213999999999999</v>
      </c>
      <c r="F92" s="1">
        <f t="shared" si="28"/>
        <v>3.7379999999999997E-2</v>
      </c>
      <c r="G92" s="1">
        <f t="shared" si="34"/>
        <v>1.26322</v>
      </c>
      <c r="H92" s="1">
        <f t="shared" si="29"/>
        <v>7.4759999999999993E-2</v>
      </c>
      <c r="I92" s="1">
        <f t="shared" si="30"/>
        <v>2.4920000000000001E-2</v>
      </c>
      <c r="J92" s="1">
        <f t="shared" si="35"/>
        <v>0.95249000000000006</v>
      </c>
      <c r="K92" s="1">
        <f t="shared" si="31"/>
        <v>4.9840000000000002E-2</v>
      </c>
      <c r="L92" s="1">
        <f t="shared" si="32"/>
        <v>1.2460000000000001E-2</v>
      </c>
    </row>
    <row r="93" spans="1:12" x14ac:dyDescent="0.3">
      <c r="A93">
        <v>2018</v>
      </c>
      <c r="B93" t="s">
        <v>2</v>
      </c>
      <c r="C93" t="s">
        <v>13</v>
      </c>
      <c r="D93" s="1">
        <f t="shared" si="33"/>
        <v>2.6753999999999998</v>
      </c>
      <c r="E93" s="1">
        <f t="shared" si="27"/>
        <v>0.11213999999999999</v>
      </c>
      <c r="F93" s="1">
        <f t="shared" si="28"/>
        <v>3.7379999999999997E-2</v>
      </c>
      <c r="G93" s="1">
        <f t="shared" si="34"/>
        <v>1.26322</v>
      </c>
      <c r="H93" s="1">
        <f t="shared" si="29"/>
        <v>7.4759999999999993E-2</v>
      </c>
      <c r="I93" s="1">
        <f t="shared" si="30"/>
        <v>2.4920000000000001E-2</v>
      </c>
      <c r="J93" s="1">
        <f t="shared" si="35"/>
        <v>0.95249000000000006</v>
      </c>
      <c r="K93" s="1">
        <f t="shared" si="31"/>
        <v>4.9840000000000002E-2</v>
      </c>
      <c r="L93" s="1">
        <f t="shared" si="32"/>
        <v>1.2460000000000001E-2</v>
      </c>
    </row>
    <row r="94" spans="1:12" x14ac:dyDescent="0.3">
      <c r="A94">
        <v>2018</v>
      </c>
      <c r="B94" t="s">
        <v>4</v>
      </c>
      <c r="C94" t="s">
        <v>13</v>
      </c>
      <c r="D94" s="1">
        <f t="shared" si="33"/>
        <v>2.6753999999999998</v>
      </c>
      <c r="E94" s="1">
        <f t="shared" si="27"/>
        <v>0.11213999999999999</v>
      </c>
      <c r="F94" s="1">
        <f t="shared" si="28"/>
        <v>3.7379999999999997E-2</v>
      </c>
      <c r="G94" s="1">
        <f t="shared" si="34"/>
        <v>1.26322</v>
      </c>
      <c r="H94" s="1">
        <f t="shared" si="29"/>
        <v>7.4759999999999993E-2</v>
      </c>
      <c r="I94" s="1">
        <f t="shared" si="30"/>
        <v>2.4920000000000001E-2</v>
      </c>
      <c r="J94" s="1">
        <f t="shared" si="35"/>
        <v>0.95249000000000006</v>
      </c>
      <c r="K94" s="1">
        <f t="shared" si="31"/>
        <v>4.9840000000000002E-2</v>
      </c>
      <c r="L94" s="1">
        <f t="shared" si="32"/>
        <v>1.2460000000000001E-2</v>
      </c>
    </row>
    <row r="95" spans="1:12" x14ac:dyDescent="0.3">
      <c r="A95">
        <v>2018</v>
      </c>
      <c r="B95" t="s">
        <v>5</v>
      </c>
      <c r="C95" t="s">
        <v>13</v>
      </c>
      <c r="D95" s="1">
        <f t="shared" si="33"/>
        <v>2.6753999999999998</v>
      </c>
      <c r="E95" s="1">
        <f t="shared" si="27"/>
        <v>0.11213999999999999</v>
      </c>
      <c r="F95" s="1">
        <f t="shared" si="28"/>
        <v>3.7379999999999997E-2</v>
      </c>
      <c r="G95" s="1">
        <f t="shared" si="34"/>
        <v>1.26322</v>
      </c>
      <c r="H95" s="1">
        <f t="shared" si="29"/>
        <v>7.4759999999999993E-2</v>
      </c>
      <c r="I95" s="1">
        <f t="shared" si="30"/>
        <v>2.4920000000000001E-2</v>
      </c>
      <c r="J95" s="1">
        <f t="shared" si="35"/>
        <v>0.95249000000000006</v>
      </c>
      <c r="K95" s="1">
        <f t="shared" si="31"/>
        <v>4.9840000000000002E-2</v>
      </c>
      <c r="L95" s="1">
        <f t="shared" si="32"/>
        <v>1.2460000000000001E-2</v>
      </c>
    </row>
    <row r="96" spans="1:12" x14ac:dyDescent="0.3">
      <c r="A96">
        <v>2019</v>
      </c>
      <c r="B96" t="s">
        <v>2</v>
      </c>
      <c r="C96" t="s">
        <v>13</v>
      </c>
      <c r="D96" s="1">
        <f t="shared" si="33"/>
        <v>2.6753999999999998</v>
      </c>
      <c r="E96" s="1">
        <f t="shared" si="27"/>
        <v>0.11213999999999999</v>
      </c>
      <c r="F96" s="1">
        <f t="shared" si="28"/>
        <v>3.7379999999999997E-2</v>
      </c>
      <c r="G96" s="1">
        <f t="shared" si="34"/>
        <v>1.26322</v>
      </c>
      <c r="H96" s="1">
        <f t="shared" si="29"/>
        <v>7.4759999999999993E-2</v>
      </c>
      <c r="I96" s="1">
        <f t="shared" si="30"/>
        <v>2.4920000000000001E-2</v>
      </c>
      <c r="J96" s="1">
        <f t="shared" si="35"/>
        <v>0.95249000000000006</v>
      </c>
      <c r="K96" s="1">
        <f t="shared" si="31"/>
        <v>4.9840000000000002E-2</v>
      </c>
      <c r="L96" s="1">
        <f t="shared" si="32"/>
        <v>1.2460000000000001E-2</v>
      </c>
    </row>
    <row r="97" spans="1:12" x14ac:dyDescent="0.3">
      <c r="A97">
        <v>2019</v>
      </c>
      <c r="B97" t="s">
        <v>4</v>
      </c>
      <c r="C97" t="s">
        <v>13</v>
      </c>
      <c r="D97" s="1">
        <f t="shared" si="33"/>
        <v>2.6753999999999998</v>
      </c>
      <c r="E97" s="1">
        <f t="shared" si="27"/>
        <v>0.11213999999999999</v>
      </c>
      <c r="F97" s="1">
        <f t="shared" si="28"/>
        <v>3.7379999999999997E-2</v>
      </c>
      <c r="G97" s="1">
        <f t="shared" si="34"/>
        <v>1.26322</v>
      </c>
      <c r="H97" s="1">
        <f t="shared" si="29"/>
        <v>7.4759999999999993E-2</v>
      </c>
      <c r="I97" s="1">
        <f t="shared" si="30"/>
        <v>2.4920000000000001E-2</v>
      </c>
      <c r="J97" s="1">
        <f t="shared" si="35"/>
        <v>0.95249000000000006</v>
      </c>
      <c r="K97" s="1">
        <f t="shared" si="31"/>
        <v>4.9840000000000002E-2</v>
      </c>
      <c r="L97" s="1">
        <f t="shared" si="32"/>
        <v>1.2460000000000001E-2</v>
      </c>
    </row>
    <row r="98" spans="1:12" x14ac:dyDescent="0.3">
      <c r="A98">
        <v>2019</v>
      </c>
      <c r="B98" t="s">
        <v>5</v>
      </c>
      <c r="C98" t="s">
        <v>13</v>
      </c>
      <c r="D98" s="1">
        <f t="shared" si="33"/>
        <v>2.6753999999999998</v>
      </c>
      <c r="E98" s="1">
        <f t="shared" si="27"/>
        <v>0.11213999999999999</v>
      </c>
      <c r="F98" s="1">
        <f t="shared" si="28"/>
        <v>3.7379999999999997E-2</v>
      </c>
      <c r="G98" s="1">
        <f t="shared" si="34"/>
        <v>1.26322</v>
      </c>
      <c r="H98" s="1">
        <f t="shared" si="29"/>
        <v>7.4759999999999993E-2</v>
      </c>
      <c r="I98" s="1">
        <f t="shared" si="30"/>
        <v>2.4920000000000001E-2</v>
      </c>
      <c r="J98" s="1">
        <f t="shared" si="35"/>
        <v>0.95249000000000006</v>
      </c>
      <c r="K98" s="1">
        <f t="shared" si="31"/>
        <v>4.9840000000000002E-2</v>
      </c>
      <c r="L98" s="1">
        <f t="shared" si="32"/>
        <v>1.2460000000000001E-2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2019-09-24T18:47:17Z</dcterms:created>
  <dcterms:modified xsi:type="dcterms:W3CDTF">2021-06-28T23:20:12Z</dcterms:modified>
</cp:coreProperties>
</file>